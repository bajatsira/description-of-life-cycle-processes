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4_курс\ОПЖЦ\"/>
    </mc:Choice>
  </mc:AlternateContent>
  <xr:revisionPtr revIDLastSave="0" documentId="8_{4826BEB1-1835-44E7-9CA7-95DD790C6A0D}" xr6:coauthVersionLast="47" xr6:coauthVersionMax="47" xr10:uidLastSave="{00000000-0000-0000-0000-000000000000}"/>
  <bookViews>
    <workbookView xWindow="888" yWindow="-108" windowWidth="22260" windowHeight="13176" xr2:uid="{00000000-000D-0000-FFFF-FFFF00000000}"/>
  </bookViews>
  <sheets>
    <sheet name="Лист 1" sheetId="2" r:id="rId1"/>
  </sheets>
  <definedNames>
    <definedName name="closed">'Лист 1'!$C$3</definedName>
    <definedName name="renegat">'Лист 1'!$E$3</definedName>
    <definedName name="SRVT">'Лист 1'!$B$9:$D$12</definedName>
    <definedName name="start">'Лист 1'!$A$3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0" i="2" l="1"/>
  <c r="E20" i="2" s="1"/>
  <c r="B21" i="2"/>
  <c r="C21" i="2" s="1"/>
  <c r="B22" i="2"/>
  <c r="C22" i="2" s="1"/>
  <c r="B23" i="2"/>
  <c r="C23" i="2" s="1"/>
  <c r="B24" i="2"/>
  <c r="C24" i="2" s="1"/>
  <c r="B25" i="2"/>
  <c r="C25" i="2" s="1"/>
  <c r="B26" i="2"/>
  <c r="C26" i="2" s="1"/>
  <c r="B27" i="2"/>
  <c r="C27" i="2" s="1"/>
  <c r="B28" i="2"/>
  <c r="C28" i="2" s="1"/>
  <c r="B29" i="2"/>
  <c r="C29" i="2" s="1"/>
  <c r="B30" i="2"/>
  <c r="C30" i="2" s="1"/>
  <c r="B31" i="2"/>
  <c r="C31" i="2" s="1"/>
  <c r="B32" i="2"/>
  <c r="C32" i="2" s="1"/>
  <c r="B33" i="2"/>
  <c r="C33" i="2" s="1"/>
  <c r="B34" i="2"/>
  <c r="C34" i="2" s="1"/>
  <c r="B35" i="2"/>
  <c r="C35" i="2" s="1"/>
  <c r="B36" i="2"/>
  <c r="C36" i="2" s="1"/>
  <c r="B37" i="2"/>
  <c r="C37" i="2" s="1"/>
  <c r="B38" i="2"/>
  <c r="C38" i="2" s="1"/>
  <c r="B39" i="2"/>
  <c r="C39" i="2" s="1"/>
  <c r="B69" i="2"/>
  <c r="C69" i="2" s="1"/>
  <c r="B68" i="2"/>
  <c r="C68" i="2" s="1"/>
  <c r="B67" i="2"/>
  <c r="C67" i="2" s="1"/>
  <c r="B66" i="2"/>
  <c r="C66" i="2" s="1"/>
  <c r="B65" i="2"/>
  <c r="C65" i="2" s="1"/>
  <c r="B64" i="2"/>
  <c r="C64" i="2" s="1"/>
  <c r="B63" i="2"/>
  <c r="C63" i="2" s="1"/>
  <c r="B62" i="2"/>
  <c r="C62" i="2" s="1"/>
  <c r="B61" i="2"/>
  <c r="C61" i="2" s="1"/>
  <c r="B60" i="2"/>
  <c r="C60" i="2" s="1"/>
  <c r="B59" i="2"/>
  <c r="C59" i="2" s="1"/>
  <c r="B58" i="2"/>
  <c r="C58" i="2" s="1"/>
  <c r="B57" i="2"/>
  <c r="C57" i="2" s="1"/>
  <c r="B56" i="2"/>
  <c r="C56" i="2" s="1"/>
  <c r="B55" i="2"/>
  <c r="C55" i="2" s="1"/>
  <c r="B54" i="2"/>
  <c r="C54" i="2" s="1"/>
  <c r="B53" i="2"/>
  <c r="C53" i="2" s="1"/>
  <c r="B52" i="2"/>
  <c r="C52" i="2" s="1"/>
  <c r="B51" i="2"/>
  <c r="C51" i="2" s="1"/>
  <c r="B50" i="2"/>
  <c r="C50" i="2" s="1"/>
  <c r="B49" i="2"/>
  <c r="C49" i="2" s="1"/>
  <c r="B48" i="2"/>
  <c r="C48" i="2" s="1"/>
  <c r="B47" i="2"/>
  <c r="C47" i="2" s="1"/>
  <c r="B46" i="2"/>
  <c r="C46" i="2" s="1"/>
  <c r="B45" i="2"/>
  <c r="C45" i="2" s="1"/>
  <c r="B44" i="2"/>
  <c r="C44" i="2" s="1"/>
  <c r="B43" i="2"/>
  <c r="C43" i="2" s="1"/>
  <c r="B42" i="2"/>
  <c r="C42" i="2" s="1"/>
  <c r="B41" i="2"/>
  <c r="C41" i="2" s="1"/>
  <c r="B40" i="2"/>
  <c r="C40" i="2" s="1"/>
  <c r="B20" i="2"/>
  <c r="C20" i="2" s="1"/>
  <c r="T19" i="2"/>
  <c r="R19" i="2"/>
  <c r="P19" i="2"/>
  <c r="F19" i="2"/>
  <c r="C9" i="2"/>
  <c r="B10" i="2" s="1"/>
  <c r="C10" i="2" s="1"/>
  <c r="B11" i="2" s="1"/>
  <c r="C11" i="2" s="1"/>
  <c r="B12" i="2" s="1"/>
  <c r="C12" i="2" s="1"/>
  <c r="D36" i="2" l="1"/>
  <c r="E36" i="2" s="1"/>
  <c r="D47" i="2"/>
  <c r="E47" i="2" s="1"/>
  <c r="D24" i="2"/>
  <c r="E24" i="2" s="1"/>
  <c r="D23" i="2"/>
  <c r="E23" i="2" s="1"/>
  <c r="D35" i="2"/>
  <c r="E35" i="2" s="1"/>
  <c r="D43" i="2"/>
  <c r="E43" i="2" s="1"/>
  <c r="D49" i="2"/>
  <c r="E49" i="2" s="1"/>
  <c r="D55" i="2"/>
  <c r="E55" i="2" s="1"/>
  <c r="D61" i="2"/>
  <c r="E61" i="2" s="1"/>
  <c r="D67" i="2"/>
  <c r="E67" i="2" s="1"/>
  <c r="D25" i="2"/>
  <c r="E25" i="2" s="1"/>
  <c r="D37" i="2"/>
  <c r="E37" i="2" s="1"/>
  <c r="D44" i="2"/>
  <c r="E44" i="2" s="1"/>
  <c r="D50" i="2"/>
  <c r="E50" i="2" s="1"/>
  <c r="D56" i="2"/>
  <c r="E56" i="2" s="1"/>
  <c r="D62" i="2"/>
  <c r="E62" i="2" s="1"/>
  <c r="D68" i="2"/>
  <c r="E68" i="2" s="1"/>
  <c r="D38" i="2"/>
  <c r="E38" i="2" s="1"/>
  <c r="D39" i="2"/>
  <c r="E39" i="2" s="1"/>
  <c r="D45" i="2"/>
  <c r="E45" i="2" s="1"/>
  <c r="D51" i="2"/>
  <c r="E51" i="2" s="1"/>
  <c r="D57" i="2"/>
  <c r="E57" i="2" s="1"/>
  <c r="D63" i="2"/>
  <c r="E63" i="2" s="1"/>
  <c r="D69" i="2"/>
  <c r="E69" i="2" s="1"/>
  <c r="D28" i="2"/>
  <c r="E28" i="2" s="1"/>
  <c r="D29" i="2"/>
  <c r="E29" i="2" s="1"/>
  <c r="D40" i="2"/>
  <c r="E40" i="2" s="1"/>
  <c r="D46" i="2"/>
  <c r="E46" i="2" s="1"/>
  <c r="D52" i="2"/>
  <c r="E52" i="2" s="1"/>
  <c r="D58" i="2"/>
  <c r="E58" i="2" s="1"/>
  <c r="D64" i="2"/>
  <c r="E64" i="2" s="1"/>
  <c r="D30" i="2"/>
  <c r="E30" i="2" s="1"/>
  <c r="D31" i="2"/>
  <c r="E31" i="2" s="1"/>
  <c r="D53" i="2"/>
  <c r="E53" i="2" s="1"/>
  <c r="D59" i="2"/>
  <c r="E59" i="2" s="1"/>
  <c r="D65" i="2"/>
  <c r="E65" i="2" s="1"/>
  <c r="D27" i="2"/>
  <c r="E27" i="2" s="1"/>
  <c r="D32" i="2"/>
  <c r="E32" i="2" s="1"/>
  <c r="D21" i="2"/>
  <c r="E21" i="2" s="1"/>
  <c r="D33" i="2"/>
  <c r="E33" i="2" s="1"/>
  <c r="D42" i="2"/>
  <c r="E42" i="2" s="1"/>
  <c r="D48" i="2"/>
  <c r="E48" i="2" s="1"/>
  <c r="D54" i="2"/>
  <c r="E54" i="2" s="1"/>
  <c r="D60" i="2"/>
  <c r="E60" i="2" s="1"/>
  <c r="D66" i="2"/>
  <c r="E66" i="2" s="1"/>
  <c r="D26" i="2"/>
  <c r="E26" i="2" s="1"/>
  <c r="D41" i="2"/>
  <c r="E41" i="2" s="1"/>
  <c r="D22" i="2"/>
  <c r="E22" i="2" s="1"/>
  <c r="D34" i="2"/>
  <c r="E34" i="2" s="1"/>
  <c r="F20" i="2"/>
  <c r="F21" i="2" l="1"/>
  <c r="K20" i="2"/>
  <c r="J20" i="2"/>
  <c r="L20" i="2"/>
  <c r="F22" i="2" l="1"/>
  <c r="A21" i="2"/>
  <c r="M20" i="2"/>
  <c r="G20" i="2" s="1"/>
  <c r="H20" i="2" s="1"/>
  <c r="N20" i="2" l="1"/>
  <c r="A22" i="2"/>
  <c r="F23" i="2"/>
  <c r="Z21" i="2"/>
  <c r="I20" i="2"/>
  <c r="X20" i="2"/>
  <c r="V20" i="2"/>
  <c r="U20" i="2"/>
  <c r="F24" i="2" l="1"/>
  <c r="A23" i="2"/>
  <c r="F25" i="2" l="1"/>
  <c r="A24" i="2"/>
  <c r="A25" i="2" l="1"/>
  <c r="F26" i="2"/>
  <c r="A26" i="2" l="1"/>
  <c r="F27" i="2"/>
  <c r="A27" i="2" l="1"/>
  <c r="F28" i="2"/>
  <c r="A28" i="2" l="1"/>
  <c r="F29" i="2"/>
  <c r="F30" i="2" l="1"/>
  <c r="A29" i="2"/>
  <c r="A30" i="2" l="1"/>
  <c r="F31" i="2"/>
  <c r="A31" i="2" l="1"/>
  <c r="F32" i="2"/>
  <c r="F33" i="2" l="1"/>
  <c r="A32" i="2"/>
  <c r="A33" i="2" l="1"/>
  <c r="F34" i="2"/>
  <c r="F35" i="2" l="1"/>
  <c r="A34" i="2"/>
  <c r="F36" i="2" l="1"/>
  <c r="A35" i="2"/>
  <c r="F37" i="2" l="1"/>
  <c r="A36" i="2"/>
  <c r="A37" i="2" l="1"/>
  <c r="F38" i="2"/>
  <c r="F39" i="2" l="1"/>
  <c r="A38" i="2"/>
  <c r="F40" i="2" l="1"/>
  <c r="A39" i="2"/>
  <c r="A40" i="2" l="1"/>
  <c r="F41" i="2"/>
  <c r="A41" i="2" l="1"/>
  <c r="F42" i="2"/>
  <c r="F43" i="2" l="1"/>
  <c r="A42" i="2"/>
  <c r="F44" i="2" l="1"/>
  <c r="A43" i="2"/>
  <c r="F45" i="2" l="1"/>
  <c r="A44" i="2"/>
  <c r="A45" i="2" l="1"/>
  <c r="F46" i="2"/>
  <c r="A46" i="2" l="1"/>
  <c r="F47" i="2"/>
  <c r="A47" i="2" l="1"/>
  <c r="F48" i="2"/>
  <c r="A48" i="2" l="1"/>
  <c r="F49" i="2"/>
  <c r="F50" i="2" l="1"/>
  <c r="A49" i="2"/>
  <c r="A50" i="2" l="1"/>
  <c r="F51" i="2"/>
  <c r="A51" i="2" l="1"/>
  <c r="F52" i="2"/>
  <c r="A52" i="2" l="1"/>
  <c r="F53" i="2"/>
  <c r="A53" i="2" l="1"/>
  <c r="F54" i="2"/>
  <c r="F55" i="2" l="1"/>
  <c r="A54" i="2"/>
  <c r="A55" i="2" l="1"/>
  <c r="F56" i="2"/>
  <c r="A56" i="2" l="1"/>
  <c r="F57" i="2"/>
  <c r="F58" i="2" l="1"/>
  <c r="A57" i="2"/>
  <c r="A58" i="2" l="1"/>
  <c r="F59" i="2"/>
  <c r="F60" i="2" l="1"/>
  <c r="A59" i="2"/>
  <c r="A60" i="2" l="1"/>
  <c r="F61" i="2"/>
  <c r="F62" i="2" l="1"/>
  <c r="A61" i="2"/>
  <c r="A62" i="2" l="1"/>
  <c r="F63" i="2"/>
  <c r="A63" i="2" l="1"/>
  <c r="F64" i="2"/>
  <c r="A64" i="2" l="1"/>
  <c r="F65" i="2"/>
  <c r="F66" i="2" l="1"/>
  <c r="A65" i="2"/>
  <c r="F67" i="2" l="1"/>
  <c r="A66" i="2"/>
  <c r="A67" i="2" l="1"/>
  <c r="F68" i="2"/>
  <c r="F69" i="2" l="1"/>
  <c r="A68" i="2"/>
  <c r="A69" i="2" l="1"/>
  <c r="R20" i="2" l="1"/>
  <c r="O20" i="2"/>
  <c r="P20" i="2" s="1"/>
  <c r="Q20" i="2"/>
  <c r="T20" i="2"/>
  <c r="S20" i="2"/>
  <c r="Y20" i="2" l="1"/>
  <c r="W20" i="2" s="1"/>
  <c r="J21" i="2"/>
  <c r="L21" i="2"/>
  <c r="K21" i="2"/>
  <c r="M21" i="2" l="1"/>
  <c r="Z22" i="2" l="1"/>
  <c r="G21" i="2"/>
  <c r="H21" i="2" s="1"/>
  <c r="V21" i="2" l="1"/>
  <c r="X21" i="2"/>
  <c r="I21" i="2"/>
  <c r="N21" i="2"/>
  <c r="U21" i="2"/>
  <c r="S21" i="2" l="1"/>
  <c r="T21" i="2"/>
  <c r="Q21" i="2"/>
  <c r="R21" i="2" s="1"/>
  <c r="O21" i="2"/>
  <c r="P21" i="2" s="1"/>
  <c r="K22" i="2" l="1"/>
  <c r="Y21" i="2"/>
  <c r="W21" i="2" s="1"/>
  <c r="J22" i="2"/>
  <c r="L22" i="2"/>
  <c r="M22" i="2" l="1"/>
  <c r="G22" i="2" l="1"/>
  <c r="H22" i="2" s="1"/>
  <c r="Z23" i="2"/>
  <c r="X22" i="2" l="1"/>
  <c r="V22" i="2"/>
  <c r="N22" i="2"/>
  <c r="U22" i="2"/>
  <c r="I22" i="2"/>
  <c r="O22" i="2" l="1"/>
  <c r="P22" i="2" s="1"/>
  <c r="S22" i="2"/>
  <c r="T22" i="2" s="1"/>
  <c r="Q22" i="2"/>
  <c r="R22" i="2" s="1"/>
  <c r="J23" i="2" l="1"/>
  <c r="L23" i="2"/>
  <c r="K23" i="2"/>
  <c r="Y22" i="2"/>
  <c r="W22" i="2" s="1"/>
  <c r="M23" i="2" l="1"/>
  <c r="G23" i="2" l="1"/>
  <c r="H23" i="2" s="1"/>
  <c r="Z24" i="2"/>
  <c r="V23" i="2" l="1"/>
  <c r="I23" i="2"/>
  <c r="U23" i="2" s="1"/>
  <c r="N23" i="2"/>
  <c r="S23" i="2" l="1"/>
  <c r="T23" i="2" s="1"/>
  <c r="Q23" i="2"/>
  <c r="R23" i="2" s="1"/>
  <c r="O23" i="2"/>
  <c r="P23" i="2" s="1"/>
  <c r="L24" i="2" l="1"/>
  <c r="J24" i="2"/>
  <c r="K24" i="2"/>
  <c r="Y23" i="2"/>
  <c r="W23" i="2" s="1"/>
  <c r="X23" i="2" s="1"/>
  <c r="M24" i="2" l="1"/>
  <c r="G24" i="2" l="1"/>
  <c r="H24" i="2" s="1"/>
  <c r="Z25" i="2"/>
  <c r="I24" i="2" l="1"/>
  <c r="V24" i="2"/>
  <c r="N24" i="2"/>
  <c r="U24" i="2"/>
  <c r="S24" i="2" l="1"/>
  <c r="T24" i="2" s="1"/>
  <c r="O24" i="2"/>
  <c r="P24" i="2" s="1"/>
  <c r="Q24" i="2"/>
  <c r="R24" i="2" s="1"/>
  <c r="J25" i="2" l="1"/>
  <c r="Y24" i="2"/>
  <c r="W24" i="2" s="1"/>
  <c r="X24" i="2" s="1"/>
  <c r="L25" i="2"/>
  <c r="K25" i="2"/>
  <c r="M25" i="2" l="1"/>
  <c r="G25" i="2" l="1"/>
  <c r="H25" i="2" s="1"/>
  <c r="Z26" i="2"/>
  <c r="N25" i="2" l="1"/>
  <c r="V25" i="2"/>
  <c r="I25" i="2"/>
  <c r="U25" i="2" s="1"/>
  <c r="Q25" i="2" l="1"/>
  <c r="R25" i="2" s="1"/>
  <c r="O25" i="2"/>
  <c r="P25" i="2" s="1"/>
  <c r="J26" i="2" s="1"/>
  <c r="S25" i="2"/>
  <c r="T25" i="2" s="1"/>
  <c r="L26" i="2" l="1"/>
  <c r="Y25" i="2"/>
  <c r="W25" i="2" s="1"/>
  <c r="X25" i="2" s="1"/>
  <c r="K26" i="2"/>
  <c r="M26" i="2" l="1"/>
  <c r="G26" i="2" s="1"/>
  <c r="H26" i="2" s="1"/>
  <c r="Z27" i="2" l="1"/>
  <c r="I26" i="2"/>
  <c r="U26" i="2" s="1"/>
  <c r="V26" i="2"/>
  <c r="N26" i="2"/>
  <c r="Q26" i="2" l="1"/>
  <c r="R26" i="2" s="1"/>
  <c r="K27" i="2" s="1"/>
  <c r="S26" i="2"/>
  <c r="T26" i="2" s="1"/>
  <c r="O26" i="2"/>
  <c r="P26" i="2" s="1"/>
  <c r="J27" i="2" l="1"/>
  <c r="Y26" i="2"/>
  <c r="W26" i="2" s="1"/>
  <c r="X26" i="2" s="1"/>
  <c r="L27" i="2"/>
  <c r="M27" i="2" l="1"/>
  <c r="G27" i="2" l="1"/>
  <c r="H27" i="2" s="1"/>
  <c r="Z28" i="2"/>
  <c r="I27" i="2" l="1"/>
  <c r="U27" i="2" s="1"/>
  <c r="N27" i="2"/>
  <c r="V27" i="2"/>
  <c r="O27" i="2" l="1"/>
  <c r="P27" i="2" s="1"/>
  <c r="J28" i="2" s="1"/>
  <c r="Q27" i="2"/>
  <c r="R27" i="2" s="1"/>
  <c r="S27" i="2"/>
  <c r="T27" i="2" s="1"/>
  <c r="K28" i="2" l="1"/>
  <c r="Y27" i="2"/>
  <c r="W27" i="2" s="1"/>
  <c r="X27" i="2" s="1"/>
  <c r="L28" i="2"/>
  <c r="M28" i="2" l="1"/>
  <c r="G28" i="2" s="1"/>
  <c r="H28" i="2" s="1"/>
  <c r="Z29" i="2" l="1"/>
  <c r="N28" i="2"/>
  <c r="I28" i="2"/>
  <c r="U28" i="2" s="1"/>
  <c r="V28" i="2"/>
  <c r="Q28" i="2" l="1"/>
  <c r="R28" i="2" s="1"/>
  <c r="K29" i="2" s="1"/>
  <c r="S28" i="2"/>
  <c r="T28" i="2" s="1"/>
  <c r="O28" i="2"/>
  <c r="P28" i="2" s="1"/>
  <c r="J29" i="2" l="1"/>
  <c r="Y28" i="2"/>
  <c r="W28" i="2" s="1"/>
  <c r="X28" i="2" s="1"/>
  <c r="L29" i="2"/>
  <c r="M29" i="2" l="1"/>
  <c r="G29" i="2" l="1"/>
  <c r="H29" i="2" s="1"/>
  <c r="Z30" i="2"/>
  <c r="I29" i="2" l="1"/>
  <c r="U29" i="2" s="1"/>
  <c r="N29" i="2"/>
  <c r="V29" i="2"/>
  <c r="Q29" i="2" l="1"/>
  <c r="R29" i="2" s="1"/>
  <c r="K30" i="2" s="1"/>
  <c r="O29" i="2"/>
  <c r="P29" i="2" s="1"/>
  <c r="S29" i="2"/>
  <c r="T29" i="2" s="1"/>
  <c r="J30" i="2" l="1"/>
  <c r="Y29" i="2"/>
  <c r="W29" i="2" s="1"/>
  <c r="X29" i="2" s="1"/>
  <c r="L30" i="2"/>
  <c r="M30" i="2" l="1"/>
  <c r="Z31" i="2" s="1"/>
  <c r="G30" i="2" l="1"/>
  <c r="H30" i="2" s="1"/>
  <c r="V30" i="2" l="1"/>
  <c r="I30" i="2"/>
  <c r="U30" i="2" s="1"/>
  <c r="N30" i="2"/>
  <c r="Q30" i="2" s="1"/>
  <c r="R30" i="2" s="1"/>
  <c r="K31" i="2" s="1"/>
  <c r="O30" i="2" l="1"/>
  <c r="P30" i="2" s="1"/>
  <c r="S30" i="2"/>
  <c r="T30" i="2" s="1"/>
  <c r="L31" i="2" s="1"/>
  <c r="J31" i="2" l="1"/>
  <c r="Y30" i="2"/>
  <c r="W30" i="2" s="1"/>
  <c r="X30" i="2" s="1"/>
  <c r="M31" i="2" l="1"/>
  <c r="G31" i="2" l="1"/>
  <c r="H31" i="2" s="1"/>
  <c r="Z32" i="2"/>
  <c r="N31" i="2" l="1"/>
  <c r="I31" i="2"/>
  <c r="U31" i="2" s="1"/>
  <c r="V31" i="2"/>
  <c r="O31" i="2" l="1"/>
  <c r="P31" i="2" s="1"/>
  <c r="J32" i="2" s="1"/>
  <c r="Q31" i="2"/>
  <c r="R31" i="2" s="1"/>
  <c r="K32" i="2" s="1"/>
  <c r="S31" i="2"/>
  <c r="T31" i="2" s="1"/>
  <c r="Y31" i="2" l="1"/>
  <c r="W31" i="2" s="1"/>
  <c r="X31" i="2" s="1"/>
  <c r="L32" i="2"/>
  <c r="M32" i="2" l="1"/>
  <c r="G32" i="2" l="1"/>
  <c r="H32" i="2" s="1"/>
  <c r="Z33" i="2"/>
  <c r="I32" i="2" l="1"/>
  <c r="U32" i="2" s="1"/>
  <c r="V32" i="2"/>
  <c r="N32" i="2"/>
  <c r="O32" i="2" l="1"/>
  <c r="P32" i="2" s="1"/>
  <c r="J33" i="2" s="1"/>
  <c r="Q32" i="2"/>
  <c r="R32" i="2" s="1"/>
  <c r="K33" i="2" s="1"/>
  <c r="S32" i="2"/>
  <c r="T32" i="2" s="1"/>
  <c r="L33" i="2" l="1"/>
  <c r="Y32" i="2"/>
  <c r="W32" i="2" s="1"/>
  <c r="X32" i="2" s="1"/>
  <c r="M33" i="2" l="1"/>
  <c r="Z34" i="2" l="1"/>
  <c r="G33" i="2"/>
  <c r="H33" i="2" s="1"/>
  <c r="I33" i="2" l="1"/>
  <c r="U33" i="2" s="1"/>
  <c r="N33" i="2"/>
  <c r="V33" i="2"/>
  <c r="Q33" i="2" l="1"/>
  <c r="R33" i="2" s="1"/>
  <c r="K34" i="2" s="1"/>
  <c r="S33" i="2"/>
  <c r="T33" i="2" s="1"/>
  <c r="L34" i="2" s="1"/>
  <c r="O33" i="2"/>
  <c r="P33" i="2" s="1"/>
  <c r="J34" i="2" s="1"/>
  <c r="Y33" i="2" l="1"/>
  <c r="W33" i="2" s="1"/>
  <c r="X33" i="2" s="1"/>
  <c r="M34" i="2"/>
  <c r="G34" i="2" s="1"/>
  <c r="H34" i="2" s="1"/>
  <c r="Z35" i="2" l="1"/>
  <c r="N34" i="2"/>
  <c r="V34" i="2"/>
  <c r="I34" i="2"/>
  <c r="U34" i="2" s="1"/>
  <c r="Q34" i="2" l="1"/>
  <c r="R34" i="2" s="1"/>
  <c r="S34" i="2"/>
  <c r="T34" i="2" s="1"/>
  <c r="L35" i="2" s="1"/>
  <c r="O34" i="2"/>
  <c r="P34" i="2" s="1"/>
  <c r="J35" i="2" s="1"/>
  <c r="K35" i="2" l="1"/>
  <c r="Y34" i="2"/>
  <c r="W34" i="2" s="1"/>
  <c r="X34" i="2" s="1"/>
  <c r="M35" i="2" l="1"/>
  <c r="Z36" i="2" s="1"/>
  <c r="G35" i="2" l="1"/>
  <c r="H35" i="2" s="1"/>
  <c r="V35" i="2" s="1"/>
  <c r="N35" i="2" l="1"/>
  <c r="Q35" i="2" s="1"/>
  <c r="R35" i="2" s="1"/>
  <c r="K36" i="2" s="1"/>
  <c r="I35" i="2"/>
  <c r="U35" i="2" s="1"/>
  <c r="S35" i="2" l="1"/>
  <c r="T35" i="2" s="1"/>
  <c r="L36" i="2" s="1"/>
  <c r="O35" i="2"/>
  <c r="P35" i="2" s="1"/>
  <c r="J36" i="2" s="1"/>
  <c r="M36" i="2" l="1"/>
  <c r="G36" i="2" s="1"/>
  <c r="H36" i="2" s="1"/>
  <c r="N36" i="2" s="1"/>
  <c r="S36" i="2" s="1"/>
  <c r="T36" i="2" s="1"/>
  <c r="Y35" i="2"/>
  <c r="W35" i="2" s="1"/>
  <c r="X35" i="2" s="1"/>
  <c r="Z37" i="2" l="1"/>
  <c r="V36" i="2"/>
  <c r="I36" i="2"/>
  <c r="U36" i="2" s="1"/>
  <c r="O36" i="2"/>
  <c r="P36" i="2" s="1"/>
  <c r="J37" i="2" s="1"/>
  <c r="Q36" i="2"/>
  <c r="R36" i="2" s="1"/>
  <c r="K37" i="2" s="1"/>
  <c r="L37" i="2"/>
  <c r="Y36" i="2" l="1"/>
  <c r="W36" i="2" s="1"/>
  <c r="X36" i="2" s="1"/>
  <c r="M37" i="2"/>
  <c r="Z38" i="2" s="1"/>
  <c r="G37" i="2" l="1"/>
  <c r="H37" i="2" s="1"/>
  <c r="I37" i="2" s="1"/>
  <c r="U37" i="2" s="1"/>
  <c r="N37" i="2" l="1"/>
  <c r="Q37" i="2" s="1"/>
  <c r="R37" i="2" s="1"/>
  <c r="V37" i="2"/>
  <c r="S37" i="2" l="1"/>
  <c r="T37" i="2" s="1"/>
  <c r="O37" i="2"/>
  <c r="P37" i="2" s="1"/>
  <c r="J38" i="2" s="1"/>
  <c r="K38" i="2"/>
  <c r="Y37" i="2" l="1"/>
  <c r="W37" i="2" s="1"/>
  <c r="X37" i="2" s="1"/>
  <c r="L38" i="2"/>
  <c r="M38" i="2" s="1"/>
  <c r="G38" i="2" l="1"/>
  <c r="H38" i="2" s="1"/>
  <c r="Z39" i="2"/>
  <c r="V38" i="2" l="1"/>
  <c r="I38" i="2"/>
  <c r="U38" i="2" s="1"/>
  <c r="N38" i="2"/>
  <c r="S38" i="2" l="1"/>
  <c r="T38" i="2" s="1"/>
  <c r="O38" i="2"/>
  <c r="P38" i="2" s="1"/>
  <c r="Q38" i="2"/>
  <c r="R38" i="2" s="1"/>
  <c r="K39" i="2" s="1"/>
  <c r="J39" i="2" l="1"/>
  <c r="Y38" i="2"/>
  <c r="W38" i="2" s="1"/>
  <c r="X38" i="2" s="1"/>
  <c r="L39" i="2"/>
  <c r="M39" i="2" l="1"/>
  <c r="G39" i="2" l="1"/>
  <c r="H39" i="2" s="1"/>
  <c r="Z40" i="2"/>
  <c r="I39" i="2" l="1"/>
  <c r="U39" i="2" s="1"/>
  <c r="V39" i="2"/>
  <c r="N39" i="2"/>
  <c r="O39" i="2" l="1"/>
  <c r="P39" i="2" s="1"/>
  <c r="J40" i="2" s="1"/>
  <c r="Q39" i="2"/>
  <c r="R39" i="2" s="1"/>
  <c r="K40" i="2" s="1"/>
  <c r="S39" i="2"/>
  <c r="T39" i="2" s="1"/>
  <c r="L40" i="2" l="1"/>
  <c r="M40" i="2" s="1"/>
  <c r="Y39" i="2"/>
  <c r="W39" i="2" s="1"/>
  <c r="X39" i="2" s="1"/>
  <c r="G40" i="2" l="1"/>
  <c r="H40" i="2" s="1"/>
  <c r="Z41" i="2"/>
  <c r="I40" i="2" l="1"/>
  <c r="U40" i="2" s="1"/>
  <c r="V40" i="2"/>
  <c r="N40" i="2"/>
  <c r="O40" i="2" l="1"/>
  <c r="P40" i="2" s="1"/>
  <c r="J41" i="2" s="1"/>
  <c r="Q40" i="2"/>
  <c r="R40" i="2" s="1"/>
  <c r="K41" i="2" s="1"/>
  <c r="S40" i="2"/>
  <c r="T40" i="2" s="1"/>
  <c r="L41" i="2" l="1"/>
  <c r="M41" i="2" s="1"/>
  <c r="Y40" i="2"/>
  <c r="W40" i="2" s="1"/>
  <c r="X40" i="2" s="1"/>
  <c r="G41" i="2" l="1"/>
  <c r="H41" i="2" s="1"/>
  <c r="Z42" i="2"/>
  <c r="N41" i="2" l="1"/>
  <c r="V41" i="2"/>
  <c r="I41" i="2"/>
  <c r="U41" i="2" s="1"/>
  <c r="S41" i="2" l="1"/>
  <c r="T41" i="2" s="1"/>
  <c r="O41" i="2"/>
  <c r="P41" i="2" s="1"/>
  <c r="J42" i="2" s="1"/>
  <c r="Q41" i="2"/>
  <c r="R41" i="2" s="1"/>
  <c r="K42" i="2" l="1"/>
  <c r="Y41" i="2"/>
  <c r="W41" i="2" s="1"/>
  <c r="X41" i="2" s="1"/>
  <c r="L42" i="2"/>
  <c r="M42" i="2" l="1"/>
  <c r="G42" i="2" l="1"/>
  <c r="H42" i="2" s="1"/>
  <c r="Z43" i="2"/>
  <c r="V42" i="2" l="1"/>
  <c r="N42" i="2"/>
  <c r="I42" i="2"/>
  <c r="U42" i="2" s="1"/>
  <c r="O42" i="2" l="1"/>
  <c r="P42" i="2" s="1"/>
  <c r="J43" i="2" s="1"/>
  <c r="Q42" i="2"/>
  <c r="R42" i="2" s="1"/>
  <c r="K43" i="2" s="1"/>
  <c r="S42" i="2"/>
  <c r="T42" i="2" s="1"/>
  <c r="L43" i="2" l="1"/>
  <c r="M43" i="2" s="1"/>
  <c r="Y42" i="2"/>
  <c r="W42" i="2" s="1"/>
  <c r="X42" i="2" s="1"/>
  <c r="G43" i="2" l="1"/>
  <c r="H43" i="2" s="1"/>
  <c r="Z44" i="2"/>
  <c r="I43" i="2" l="1"/>
  <c r="U43" i="2" s="1"/>
  <c r="N43" i="2"/>
  <c r="V43" i="2"/>
  <c r="O43" i="2" l="1"/>
  <c r="P43" i="2" s="1"/>
  <c r="J44" i="2" s="1"/>
  <c r="S43" i="2"/>
  <c r="T43" i="2" s="1"/>
  <c r="Q43" i="2"/>
  <c r="R43" i="2" s="1"/>
  <c r="K44" i="2" l="1"/>
  <c r="Y43" i="2"/>
  <c r="W43" i="2" s="1"/>
  <c r="X43" i="2" s="1"/>
  <c r="L44" i="2"/>
  <c r="M44" i="2" l="1"/>
  <c r="G44" i="2" s="1"/>
  <c r="H44" i="2" s="1"/>
  <c r="Z45" i="2" l="1"/>
  <c r="I44" i="2"/>
  <c r="U44" i="2" s="1"/>
  <c r="V44" i="2"/>
  <c r="N44" i="2"/>
  <c r="Q44" i="2" l="1"/>
  <c r="R44" i="2" s="1"/>
  <c r="K45" i="2" s="1"/>
  <c r="S44" i="2"/>
  <c r="T44" i="2" s="1"/>
  <c r="O44" i="2"/>
  <c r="P44" i="2" s="1"/>
  <c r="J45" i="2" l="1"/>
  <c r="Y44" i="2"/>
  <c r="W44" i="2" s="1"/>
  <c r="X44" i="2" s="1"/>
  <c r="L45" i="2"/>
  <c r="M45" i="2" l="1"/>
  <c r="G45" i="2" s="1"/>
  <c r="H45" i="2" s="1"/>
  <c r="Z46" i="2" l="1"/>
  <c r="N45" i="2"/>
  <c r="V45" i="2"/>
  <c r="I45" i="2"/>
  <c r="U45" i="2" s="1"/>
  <c r="S45" i="2" l="1"/>
  <c r="T45" i="2" s="1"/>
  <c r="O45" i="2"/>
  <c r="P45" i="2" s="1"/>
  <c r="J46" i="2" s="1"/>
  <c r="Q45" i="2"/>
  <c r="R45" i="2" s="1"/>
  <c r="K46" i="2" s="1"/>
  <c r="L46" i="2" l="1"/>
  <c r="Y45" i="2"/>
  <c r="W45" i="2" s="1"/>
  <c r="X45" i="2" s="1"/>
  <c r="M46" i="2" l="1"/>
  <c r="G46" i="2" l="1"/>
  <c r="H46" i="2" s="1"/>
  <c r="Z47" i="2"/>
  <c r="V46" i="2" l="1"/>
  <c r="N46" i="2"/>
  <c r="I46" i="2"/>
  <c r="U46" i="2" s="1"/>
  <c r="O46" i="2" l="1"/>
  <c r="P46" i="2" s="1"/>
  <c r="J47" i="2" s="1"/>
  <c r="Q46" i="2"/>
  <c r="R46" i="2" s="1"/>
  <c r="K47" i="2" s="1"/>
  <c r="S46" i="2"/>
  <c r="T46" i="2" s="1"/>
  <c r="Y46" i="2" l="1"/>
  <c r="W46" i="2" s="1"/>
  <c r="X46" i="2" s="1"/>
  <c r="L47" i="2"/>
  <c r="M47" i="2" s="1"/>
  <c r="G47" i="2" l="1"/>
  <c r="H47" i="2" s="1"/>
  <c r="Z48" i="2"/>
  <c r="I47" i="2" l="1"/>
  <c r="U47" i="2" s="1"/>
  <c r="V47" i="2"/>
  <c r="N47" i="2"/>
  <c r="O47" i="2" l="1"/>
  <c r="P47" i="2" s="1"/>
  <c r="J48" i="2" s="1"/>
  <c r="Q47" i="2"/>
  <c r="R47" i="2" s="1"/>
  <c r="S47" i="2"/>
  <c r="T47" i="2" s="1"/>
  <c r="K48" i="2" l="1"/>
  <c r="Y47" i="2"/>
  <c r="W47" i="2" s="1"/>
  <c r="X47" i="2" s="1"/>
  <c r="L48" i="2"/>
  <c r="M48" i="2" l="1"/>
  <c r="G48" i="2" s="1"/>
  <c r="H48" i="2" s="1"/>
  <c r="Z49" i="2" l="1"/>
  <c r="V48" i="2"/>
  <c r="N48" i="2"/>
  <c r="I48" i="2"/>
  <c r="U48" i="2" s="1"/>
  <c r="S48" i="2" l="1"/>
  <c r="T48" i="2" s="1"/>
  <c r="O48" i="2"/>
  <c r="P48" i="2" s="1"/>
  <c r="J49" i="2" s="1"/>
  <c r="Q48" i="2"/>
  <c r="R48" i="2" s="1"/>
  <c r="K49" i="2" s="1"/>
  <c r="Y48" i="2" l="1"/>
  <c r="W48" i="2" s="1"/>
  <c r="X48" i="2" s="1"/>
  <c r="L49" i="2"/>
  <c r="M49" i="2" s="1"/>
  <c r="G49" i="2" l="1"/>
  <c r="H49" i="2" s="1"/>
  <c r="Z50" i="2"/>
  <c r="N49" i="2" l="1"/>
  <c r="I49" i="2"/>
  <c r="U49" i="2" s="1"/>
  <c r="V49" i="2"/>
  <c r="Q49" i="2" l="1"/>
  <c r="R49" i="2" s="1"/>
  <c r="K50" i="2" s="1"/>
  <c r="O49" i="2"/>
  <c r="P49" i="2" s="1"/>
  <c r="S49" i="2"/>
  <c r="T49" i="2" s="1"/>
  <c r="J50" i="2" l="1"/>
  <c r="Y49" i="2"/>
  <c r="W49" i="2" s="1"/>
  <c r="X49" i="2" s="1"/>
  <c r="L50" i="2"/>
  <c r="M50" i="2" l="1"/>
  <c r="G50" i="2" l="1"/>
  <c r="H50" i="2" s="1"/>
  <c r="Z51" i="2"/>
  <c r="I50" i="2" l="1"/>
  <c r="N50" i="2"/>
  <c r="V50" i="2"/>
  <c r="U50" i="2" l="1"/>
  <c r="O50" i="2"/>
  <c r="P50" i="2" s="1"/>
  <c r="J51" i="2" s="1"/>
  <c r="Q50" i="2"/>
  <c r="R50" i="2" s="1"/>
  <c r="K51" i="2" s="1"/>
  <c r="S50" i="2"/>
  <c r="T50" i="2" s="1"/>
  <c r="Y50" i="2" l="1"/>
  <c r="W50" i="2" s="1"/>
  <c r="X50" i="2" s="1"/>
  <c r="L51" i="2"/>
  <c r="M51" i="2" s="1"/>
  <c r="G51" i="2" l="1"/>
  <c r="H51" i="2" s="1"/>
  <c r="Z52" i="2"/>
  <c r="I51" i="2" l="1"/>
  <c r="U51" i="2" s="1"/>
  <c r="N51" i="2"/>
  <c r="V51" i="2"/>
  <c r="Q51" i="2" l="1"/>
  <c r="R51" i="2" s="1"/>
  <c r="K52" i="2" s="1"/>
  <c r="O51" i="2"/>
  <c r="P51" i="2" s="1"/>
  <c r="J52" i="2" s="1"/>
  <c r="S51" i="2"/>
  <c r="T51" i="2" s="1"/>
  <c r="Y51" i="2" l="1"/>
  <c r="W51" i="2" s="1"/>
  <c r="X51" i="2" s="1"/>
  <c r="L52" i="2"/>
  <c r="M52" i="2" s="1"/>
  <c r="G52" i="2" l="1"/>
  <c r="H52" i="2" s="1"/>
  <c r="Z53" i="2"/>
  <c r="V52" i="2" l="1"/>
  <c r="I52" i="2"/>
  <c r="U52" i="2" s="1"/>
  <c r="N52" i="2"/>
  <c r="Q52" i="2" l="1"/>
  <c r="R52" i="2" s="1"/>
  <c r="O52" i="2"/>
  <c r="P52" i="2" s="1"/>
  <c r="J53" i="2" s="1"/>
  <c r="S52" i="2"/>
  <c r="T52" i="2" s="1"/>
  <c r="K53" i="2" l="1"/>
  <c r="Y52" i="2"/>
  <c r="W52" i="2" s="1"/>
  <c r="X52" i="2" s="1"/>
  <c r="L53" i="2"/>
  <c r="M53" i="2" l="1"/>
  <c r="G53" i="2" l="1"/>
  <c r="H53" i="2" s="1"/>
  <c r="Z54" i="2"/>
  <c r="N53" i="2" l="1"/>
  <c r="V53" i="2"/>
  <c r="I53" i="2"/>
  <c r="U53" i="2" s="1"/>
  <c r="O53" i="2" l="1"/>
  <c r="P53" i="2" s="1"/>
  <c r="Q53" i="2"/>
  <c r="R53" i="2" s="1"/>
  <c r="K54" i="2" s="1"/>
  <c r="S53" i="2"/>
  <c r="T53" i="2" s="1"/>
  <c r="J54" i="2" l="1"/>
  <c r="Y53" i="2"/>
  <c r="W53" i="2" s="1"/>
  <c r="X53" i="2" s="1"/>
  <c r="L54" i="2"/>
  <c r="M54" i="2" l="1"/>
  <c r="G54" i="2" l="1"/>
  <c r="H54" i="2" s="1"/>
  <c r="Z55" i="2"/>
  <c r="I54" i="2" l="1"/>
  <c r="U54" i="2" s="1"/>
  <c r="N54" i="2"/>
  <c r="V54" i="2"/>
  <c r="O54" i="2" l="1"/>
  <c r="P54" i="2" s="1"/>
  <c r="J55" i="2" s="1"/>
  <c r="S54" i="2"/>
  <c r="T54" i="2" s="1"/>
  <c r="Q54" i="2"/>
  <c r="R54" i="2" s="1"/>
  <c r="K55" i="2" l="1"/>
  <c r="Y54" i="2"/>
  <c r="W54" i="2" s="1"/>
  <c r="X54" i="2" s="1"/>
  <c r="L55" i="2"/>
  <c r="M55" i="2" l="1"/>
  <c r="G55" i="2" s="1"/>
  <c r="H55" i="2" s="1"/>
  <c r="Z56" i="2" l="1"/>
  <c r="I55" i="2"/>
  <c r="U55" i="2" s="1"/>
  <c r="V55" i="2"/>
  <c r="N55" i="2"/>
  <c r="O55" i="2" l="1"/>
  <c r="P55" i="2" s="1"/>
  <c r="J56" i="2" s="1"/>
  <c r="S55" i="2"/>
  <c r="T55" i="2" s="1"/>
  <c r="Q55" i="2"/>
  <c r="R55" i="2" s="1"/>
  <c r="K56" i="2" l="1"/>
  <c r="Y55" i="2"/>
  <c r="W55" i="2" s="1"/>
  <c r="X55" i="2" s="1"/>
  <c r="L56" i="2"/>
  <c r="M56" i="2" l="1"/>
  <c r="G56" i="2" s="1"/>
  <c r="H56" i="2" s="1"/>
  <c r="Z57" i="2" l="1"/>
  <c r="N56" i="2"/>
  <c r="V56" i="2"/>
  <c r="I56" i="2"/>
  <c r="U56" i="2" s="1"/>
  <c r="S56" i="2" l="1"/>
  <c r="T56" i="2" s="1"/>
  <c r="O56" i="2"/>
  <c r="P56" i="2" s="1"/>
  <c r="Q56" i="2"/>
  <c r="R56" i="2" s="1"/>
  <c r="K57" i="2" s="1"/>
  <c r="J57" i="2" l="1"/>
  <c r="Y56" i="2"/>
  <c r="W56" i="2" s="1"/>
  <c r="X56" i="2" s="1"/>
  <c r="L57" i="2"/>
  <c r="M57" i="2" l="1"/>
  <c r="G57" i="2" l="1"/>
  <c r="H57" i="2" s="1"/>
  <c r="Z58" i="2"/>
  <c r="I57" i="2" l="1"/>
  <c r="N57" i="2"/>
  <c r="V57" i="2"/>
  <c r="U57" i="2"/>
  <c r="S57" i="2" l="1"/>
  <c r="T57" i="2" s="1"/>
  <c r="O57" i="2"/>
  <c r="P57" i="2" s="1"/>
  <c r="Q57" i="2"/>
  <c r="R57" i="2" s="1"/>
  <c r="K58" i="2" s="1"/>
  <c r="J58" i="2" l="1"/>
  <c r="Y57" i="2"/>
  <c r="W57" i="2" s="1"/>
  <c r="X57" i="2" s="1"/>
  <c r="L58" i="2"/>
  <c r="M58" i="2" l="1"/>
  <c r="G58" i="2" l="1"/>
  <c r="H58" i="2" s="1"/>
  <c r="Z59" i="2"/>
  <c r="V58" i="2" l="1"/>
  <c r="N58" i="2"/>
  <c r="I58" i="2"/>
  <c r="U58" i="2" s="1"/>
  <c r="Q58" i="2" l="1"/>
  <c r="R58" i="2" s="1"/>
  <c r="S58" i="2"/>
  <c r="O58" i="2"/>
  <c r="P58" i="2" s="1"/>
  <c r="J59" i="2" s="1"/>
  <c r="T58" i="2"/>
  <c r="K59" i="2" l="1"/>
  <c r="Y58" i="2"/>
  <c r="W58" i="2" s="1"/>
  <c r="X58" i="2" s="1"/>
  <c r="L59" i="2"/>
  <c r="M59" i="2" l="1"/>
  <c r="G59" i="2" s="1"/>
  <c r="H59" i="2" s="1"/>
  <c r="Z60" i="2" l="1"/>
  <c r="I59" i="2"/>
  <c r="U59" i="2" s="1"/>
  <c r="V59" i="2"/>
  <c r="N59" i="2"/>
  <c r="Q59" i="2" l="1"/>
  <c r="R59" i="2" s="1"/>
  <c r="O59" i="2"/>
  <c r="P59" i="2" s="1"/>
  <c r="J60" i="2" s="1"/>
  <c r="S59" i="2"/>
  <c r="T59" i="2" s="1"/>
  <c r="K60" i="2" l="1"/>
  <c r="Y59" i="2"/>
  <c r="W59" i="2" s="1"/>
  <c r="X59" i="2" s="1"/>
  <c r="L60" i="2"/>
  <c r="M60" i="2" l="1"/>
  <c r="G60" i="2" s="1"/>
  <c r="H60" i="2" s="1"/>
  <c r="Z61" i="2" l="1"/>
  <c r="N60" i="2"/>
  <c r="V60" i="2"/>
  <c r="I60" i="2"/>
  <c r="U60" i="2" s="1"/>
  <c r="O60" i="2" l="1"/>
  <c r="P60" i="2" s="1"/>
  <c r="J61" i="2" s="1"/>
  <c r="S60" i="2"/>
  <c r="T60" i="2" s="1"/>
  <c r="Q60" i="2"/>
  <c r="R60" i="2" s="1"/>
  <c r="K61" i="2" l="1"/>
  <c r="Y60" i="2"/>
  <c r="W60" i="2" s="1"/>
  <c r="X60" i="2" s="1"/>
  <c r="L61" i="2"/>
  <c r="M61" i="2" l="1"/>
  <c r="G61" i="2" l="1"/>
  <c r="H61" i="2" s="1"/>
  <c r="Z62" i="2"/>
  <c r="I61" i="2" l="1"/>
  <c r="U61" i="2" s="1"/>
  <c r="N61" i="2"/>
  <c r="V61" i="2"/>
  <c r="Q61" i="2" l="1"/>
  <c r="R61" i="2" s="1"/>
  <c r="K62" i="2" s="1"/>
  <c r="O61" i="2"/>
  <c r="P61" i="2" s="1"/>
  <c r="J62" i="2" s="1"/>
  <c r="S61" i="2"/>
  <c r="T61" i="2" s="1"/>
  <c r="Y61" i="2" l="1"/>
  <c r="W61" i="2" s="1"/>
  <c r="X61" i="2" s="1"/>
  <c r="L62" i="2"/>
  <c r="M62" i="2" s="1"/>
  <c r="G62" i="2" l="1"/>
  <c r="H62" i="2" s="1"/>
  <c r="Z63" i="2"/>
  <c r="I62" i="2" l="1"/>
  <c r="U62" i="2" s="1"/>
  <c r="V62" i="2"/>
  <c r="N62" i="2"/>
  <c r="Q62" i="2" l="1"/>
  <c r="R62" i="2" s="1"/>
  <c r="S62" i="2"/>
  <c r="T62" i="2" s="1"/>
  <c r="O62" i="2"/>
  <c r="P62" i="2" s="1"/>
  <c r="J63" i="2" s="1"/>
  <c r="K63" i="2" l="1"/>
  <c r="Y62" i="2"/>
  <c r="W62" i="2" s="1"/>
  <c r="X62" i="2" s="1"/>
  <c r="L63" i="2"/>
  <c r="M63" i="2" l="1"/>
  <c r="G63" i="2" s="1"/>
  <c r="H63" i="2" s="1"/>
  <c r="Z64" i="2" l="1"/>
  <c r="I63" i="2"/>
  <c r="U63" i="2" s="1"/>
  <c r="V63" i="2"/>
  <c r="N63" i="2"/>
  <c r="O63" i="2" l="1"/>
  <c r="P63" i="2" s="1"/>
  <c r="J64" i="2" s="1"/>
  <c r="Q63" i="2"/>
  <c r="R63" i="2" s="1"/>
  <c r="K64" i="2" s="1"/>
  <c r="S63" i="2"/>
  <c r="T63" i="2" s="1"/>
  <c r="Y63" i="2" l="1"/>
  <c r="W63" i="2" s="1"/>
  <c r="X63" i="2" s="1"/>
  <c r="L64" i="2"/>
  <c r="M64" i="2" l="1"/>
  <c r="G64" i="2" s="1"/>
  <c r="H64" i="2" s="1"/>
  <c r="Z65" i="2" l="1"/>
  <c r="N64" i="2"/>
  <c r="V64" i="2"/>
  <c r="I64" i="2"/>
  <c r="U64" i="2" s="1"/>
  <c r="O64" i="2" l="1"/>
  <c r="P64" i="2" s="1"/>
  <c r="J65" i="2" s="1"/>
  <c r="Q64" i="2"/>
  <c r="R64" i="2" s="1"/>
  <c r="K65" i="2" s="1"/>
  <c r="S64" i="2"/>
  <c r="T64" i="2" s="1"/>
  <c r="L65" i="2" l="1"/>
  <c r="Y64" i="2"/>
  <c r="W64" i="2" s="1"/>
  <c r="X64" i="2" s="1"/>
  <c r="M65" i="2" l="1"/>
  <c r="G65" i="2" s="1"/>
  <c r="H65" i="2" s="1"/>
  <c r="Z66" i="2" l="1"/>
  <c r="V65" i="2"/>
  <c r="N65" i="2"/>
  <c r="I65" i="2"/>
  <c r="U65" i="2" s="1"/>
  <c r="Q65" i="2" l="1"/>
  <c r="R65" i="2" s="1"/>
  <c r="S65" i="2"/>
  <c r="T65" i="2" s="1"/>
  <c r="O65" i="2"/>
  <c r="P65" i="2" s="1"/>
  <c r="J66" i="2" s="1"/>
  <c r="K66" i="2" l="1"/>
  <c r="Y65" i="2"/>
  <c r="W65" i="2" s="1"/>
  <c r="X65" i="2" s="1"/>
  <c r="L66" i="2"/>
  <c r="M66" i="2" l="1"/>
  <c r="G66" i="2" s="1"/>
  <c r="H66" i="2" s="1"/>
  <c r="Z67" i="2" l="1"/>
  <c r="I66" i="2"/>
  <c r="U66" i="2" s="1"/>
  <c r="N66" i="2"/>
  <c r="V66" i="2"/>
  <c r="O66" i="2" l="1"/>
  <c r="P66" i="2" s="1"/>
  <c r="J67" i="2" s="1"/>
  <c r="Q66" i="2"/>
  <c r="R66" i="2" s="1"/>
  <c r="K67" i="2" s="1"/>
  <c r="S66" i="2"/>
  <c r="T66" i="2" s="1"/>
  <c r="Y66" i="2" l="1"/>
  <c r="W66" i="2" s="1"/>
  <c r="X66" i="2" s="1"/>
  <c r="L67" i="2"/>
  <c r="M67" i="2" l="1"/>
  <c r="G67" i="2" s="1"/>
  <c r="H67" i="2" s="1"/>
  <c r="Z68" i="2" l="1"/>
  <c r="I67" i="2"/>
  <c r="U67" i="2" s="1"/>
  <c r="N67" i="2"/>
  <c r="V67" i="2"/>
  <c r="S67" i="2" l="1"/>
  <c r="T67" i="2" s="1"/>
  <c r="O67" i="2"/>
  <c r="P67" i="2" s="1"/>
  <c r="J68" i="2" s="1"/>
  <c r="Q67" i="2"/>
  <c r="R67" i="2" s="1"/>
  <c r="K68" i="2" l="1"/>
  <c r="Y67" i="2"/>
  <c r="W67" i="2" s="1"/>
  <c r="X67" i="2" s="1"/>
  <c r="L68" i="2"/>
  <c r="M68" i="2" l="1"/>
  <c r="G68" i="2" l="1"/>
  <c r="H68" i="2" s="1"/>
  <c r="Z69" i="2"/>
  <c r="B98" i="2" s="1"/>
  <c r="N68" i="2" l="1"/>
  <c r="V68" i="2"/>
  <c r="I68" i="2"/>
  <c r="U68" i="2" s="1"/>
  <c r="S68" i="2" l="1"/>
  <c r="T68" i="2" s="1"/>
  <c r="O68" i="2"/>
  <c r="P68" i="2" s="1"/>
  <c r="Q68" i="2"/>
  <c r="R68" i="2" s="1"/>
  <c r="K69" i="2" s="1"/>
  <c r="J69" i="2" l="1"/>
  <c r="Y68" i="2"/>
  <c r="W68" i="2" s="1"/>
  <c r="X68" i="2" s="1"/>
  <c r="L69" i="2"/>
  <c r="M69" i="2" l="1"/>
  <c r="G69" i="2" s="1"/>
  <c r="H69" i="2" s="1"/>
  <c r="V69" i="2" l="1"/>
  <c r="B76" i="2" s="1"/>
  <c r="N69" i="2"/>
  <c r="R75" i="2" s="1"/>
  <c r="I69" i="2"/>
  <c r="U69" i="2" s="1"/>
  <c r="B92" i="2"/>
  <c r="B95" i="2" s="1"/>
  <c r="B84" i="2" l="1"/>
  <c r="S69" i="2"/>
  <c r="T69" i="2" s="1"/>
  <c r="O69" i="2"/>
  <c r="P69" i="2" s="1"/>
  <c r="Q69" i="2"/>
  <c r="R69" i="2" s="1"/>
  <c r="B80" i="2"/>
  <c r="R77" i="2"/>
  <c r="R76" i="2"/>
  <c r="B88" i="2"/>
  <c r="Y69" i="2" l="1"/>
  <c r="W69" i="2" s="1"/>
  <c r="B71" i="2" l="1"/>
  <c r="X69" i="2"/>
</calcChain>
</file>

<file path=xl/sharedStrings.xml><?xml version="1.0" encoding="utf-8"?>
<sst xmlns="http://schemas.openxmlformats.org/spreadsheetml/2006/main" count="108" uniqueCount="68">
  <si>
    <t xml:space="preserve">Табличная модель системы массового обслуживания с 3 серверами и ограничением времени ожидания </t>
  </si>
  <si>
    <t>Начало</t>
  </si>
  <si>
    <t>Конец</t>
  </si>
  <si>
    <t>Уйти если ожидание больше</t>
  </si>
  <si>
    <t>вероят ность</t>
  </si>
  <si>
    <t>нижняя</t>
  </si>
  <si>
    <t>верхняя</t>
  </si>
  <si>
    <t>время</t>
  </si>
  <si>
    <t>граница</t>
  </si>
  <si>
    <t>сервиса</t>
  </si>
  <si>
    <t>(мин)</t>
  </si>
  <si>
    <t>время до</t>
  </si>
  <si>
    <t>время обс-</t>
  </si>
  <si>
    <t>момент</t>
  </si>
  <si>
    <t>прогноз</t>
  </si>
  <si>
    <t>прогноз 1</t>
  </si>
  <si>
    <t>прогноз 2</t>
  </si>
  <si>
    <t>прогноз 3</t>
  </si>
  <si>
    <t>факт.</t>
  </si>
  <si>
    <t>б/о</t>
  </si>
  <si>
    <t>до обсл.</t>
  </si>
  <si>
    <t>итог.</t>
  </si>
  <si>
    <t>длина</t>
  </si>
  <si>
    <t>клиент</t>
  </si>
  <si>
    <t>прихода</t>
  </si>
  <si>
    <t>интервал</t>
  </si>
  <si>
    <t>луживания</t>
  </si>
  <si>
    <t>времени</t>
  </si>
  <si>
    <t>отка--</t>
  </si>
  <si>
    <t>ухода из</t>
  </si>
  <si>
    <t>начала обс-</t>
  </si>
  <si>
    <t>номер</t>
  </si>
  <si>
    <t>оператор 2</t>
  </si>
  <si>
    <t>оператор 3</t>
  </si>
  <si>
    <t>время в</t>
  </si>
  <si>
    <t>длит-ть</t>
  </si>
  <si>
    <t>обслуж-</t>
  </si>
  <si>
    <t>очереди</t>
  </si>
  <si>
    <t>#</t>
  </si>
  <si>
    <t>клиента</t>
  </si>
  <si>
    <t>между</t>
  </si>
  <si>
    <t>на сервере</t>
  </si>
  <si>
    <t>ожидания</t>
  </si>
  <si>
    <t>зался</t>
  </si>
  <si>
    <t>начала</t>
  </si>
  <si>
    <t>сервера</t>
  </si>
  <si>
    <t>нач</t>
  </si>
  <si>
    <t>кон</t>
  </si>
  <si>
    <t>пребыв</t>
  </si>
  <si>
    <t>ивания</t>
  </si>
  <si>
    <t>ухода</t>
  </si>
  <si>
    <t>к началу</t>
  </si>
  <si>
    <t>клиентами</t>
  </si>
  <si>
    <t>(ч:мин)</t>
  </si>
  <si>
    <t>ждать ?</t>
  </si>
  <si>
    <t>(с отказами)</t>
  </si>
  <si>
    <t>Среднее время пребывания:</t>
  </si>
  <si>
    <t>Среднее время в очереди:</t>
  </si>
  <si>
    <t>Загрузка сервера 1:</t>
  </si>
  <si>
    <t>Загрузка сервера 2:</t>
  </si>
  <si>
    <t>Загрузка сервера 3:</t>
  </si>
  <si>
    <t>Потеряно клиентов:</t>
  </si>
  <si>
    <t>Доля потерь:</t>
  </si>
  <si>
    <t>Макс. очередь:</t>
  </si>
  <si>
    <t>Сервер 1</t>
  </si>
  <si>
    <t>Сервер 2</t>
  </si>
  <si>
    <t>Сервер 3</t>
  </si>
  <si>
    <t>оператор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</si>
</sst>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4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4" fillId="0" borderId="16" applyNumberFormat="0" applyFill="0" applyAlignment="0" applyProtection="0"/>
  </cellStyleXfs>
  <cellXfs count="59">
    <xf numFmtId="0" fontId="0" fillId="0" borderId="0" xfId="0"/>
    <xf numFmtId="0" fontId="5" fillId="0" borderId="0" xfId="0" applyFont="1"/>
    <xf numFmtId="0" fontId="2" fillId="0" borderId="0" xfId="0" applyFont="1"/>
    <xf numFmtId="0" fontId="2" fillId="0" borderId="2" xfId="0" applyFont="1" applyBorder="1" applyProtection="1">
      <protection locked="0"/>
    </xf>
    <xf numFmtId="0" fontId="2" fillId="0" borderId="5" xfId="0" applyFont="1" applyBorder="1" applyProtection="1">
      <protection locked="0"/>
    </xf>
    <xf numFmtId="0" fontId="2" fillId="4" borderId="11" xfId="1" applyFont="1" applyFill="1" applyBorder="1" applyAlignment="1" applyProtection="1">
      <alignment horizontal="center"/>
      <protection locked="0"/>
    </xf>
    <xf numFmtId="0" fontId="2" fillId="4" borderId="13" xfId="1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5" fillId="0" borderId="2" xfId="0" applyFont="1" applyBorder="1" applyProtection="1">
      <protection locked="0"/>
    </xf>
    <xf numFmtId="0" fontId="6" fillId="0" borderId="2" xfId="0" applyFont="1" applyBorder="1" applyProtection="1">
      <protection locked="0"/>
    </xf>
    <xf numFmtId="20" fontId="6" fillId="0" borderId="2" xfId="0" applyNumberFormat="1" applyFont="1" applyBorder="1" applyProtection="1">
      <protection locked="0"/>
    </xf>
    <xf numFmtId="20" fontId="5" fillId="3" borderId="4" xfId="0" applyNumberFormat="1" applyFont="1" applyFill="1" applyBorder="1" applyAlignment="1" applyProtection="1">
      <alignment horizontal="center"/>
      <protection locked="0"/>
    </xf>
    <xf numFmtId="0" fontId="5" fillId="0" borderId="5" xfId="0" applyFont="1" applyBorder="1" applyProtection="1">
      <protection locked="0"/>
    </xf>
    <xf numFmtId="20" fontId="5" fillId="3" borderId="6" xfId="0" applyNumberFormat="1" applyFont="1" applyFill="1" applyBorder="1" applyAlignment="1" applyProtection="1">
      <alignment horizontal="center"/>
      <protection locked="0"/>
    </xf>
    <xf numFmtId="0" fontId="6" fillId="4" borderId="9" xfId="0" applyFont="1" applyFill="1" applyBorder="1" applyAlignment="1" applyProtection="1">
      <alignment horizontal="center"/>
      <protection locked="0"/>
    </xf>
    <xf numFmtId="0" fontId="6" fillId="4" borderId="10" xfId="0" applyFont="1" applyFill="1" applyBorder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center"/>
      <protection locked="0"/>
    </xf>
    <xf numFmtId="0" fontId="6" fillId="4" borderId="12" xfId="0" applyFont="1" applyFill="1" applyBorder="1" applyAlignment="1" applyProtection="1">
      <alignment horizontal="center"/>
      <protection locked="0"/>
    </xf>
    <xf numFmtId="0" fontId="6" fillId="4" borderId="14" xfId="0" applyFont="1" applyFill="1" applyBorder="1" applyAlignment="1" applyProtection="1">
      <alignment horizontal="center"/>
      <protection locked="0"/>
    </xf>
    <xf numFmtId="0" fontId="6" fillId="4" borderId="15" xfId="0" applyFont="1" applyFill="1" applyBorder="1" applyAlignment="1" applyProtection="1">
      <alignment horizontal="center"/>
      <protection locked="0"/>
    </xf>
    <xf numFmtId="0" fontId="5" fillId="4" borderId="0" xfId="0" applyFont="1" applyFill="1" applyAlignment="1" applyProtection="1">
      <alignment horizontal="center"/>
      <protection locked="0"/>
    </xf>
    <xf numFmtId="0" fontId="5" fillId="4" borderId="0" xfId="0" applyFont="1" applyFill="1" applyAlignment="1">
      <alignment horizontal="center"/>
    </xf>
    <xf numFmtId="0" fontId="5" fillId="4" borderId="12" xfId="0" applyFont="1" applyFill="1" applyBorder="1" applyAlignment="1" applyProtection="1">
      <alignment horizontal="center"/>
      <protection locked="0"/>
    </xf>
    <xf numFmtId="0" fontId="5" fillId="4" borderId="14" xfId="0" applyFont="1" applyFill="1" applyBorder="1" applyAlignment="1">
      <alignment horizontal="center"/>
    </xf>
    <xf numFmtId="0" fontId="5" fillId="4" borderId="15" xfId="0" applyFont="1" applyFill="1" applyBorder="1" applyAlignment="1" applyProtection="1">
      <alignment horizontal="center"/>
      <protection locked="0"/>
    </xf>
    <xf numFmtId="0" fontId="5" fillId="0" borderId="2" xfId="0" applyFont="1" applyBorder="1" applyAlignment="1" applyProtection="1">
      <alignment horizontal="center"/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6" fillId="5" borderId="0" xfId="0" applyFont="1" applyFill="1" applyAlignment="1" applyProtection="1">
      <alignment horizontal="center"/>
      <protection locked="0"/>
    </xf>
    <xf numFmtId="0" fontId="6" fillId="0" borderId="14" xfId="0" applyFont="1" applyBorder="1" applyAlignment="1" applyProtection="1">
      <alignment horizontal="center"/>
      <protection locked="0"/>
    </xf>
    <xf numFmtId="0" fontId="6" fillId="5" borderId="14" xfId="0" applyFont="1" applyFill="1" applyBorder="1" applyAlignment="1" applyProtection="1">
      <alignment horizontal="center"/>
      <protection locked="0"/>
    </xf>
    <xf numFmtId="164" fontId="2" fillId="0" borderId="0" xfId="0" applyNumberFormat="1" applyFont="1"/>
    <xf numFmtId="164" fontId="5" fillId="0" borderId="0" xfId="0" applyNumberFormat="1" applyFont="1"/>
    <xf numFmtId="0" fontId="2" fillId="0" borderId="3" xfId="0" applyFont="1" applyBorder="1"/>
    <xf numFmtId="0" fontId="2" fillId="0" borderId="7" xfId="0" applyFont="1" applyBorder="1"/>
    <xf numFmtId="0" fontId="2" fillId="0" borderId="2" xfId="0" applyFont="1" applyBorder="1" applyAlignment="1">
      <alignment horizontal="center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7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horizontal="center"/>
      <protection locked="0"/>
    </xf>
    <xf numFmtId="0" fontId="3" fillId="0" borderId="0" xfId="0" applyFont="1"/>
    <xf numFmtId="0" fontId="7" fillId="0" borderId="0" xfId="0" applyFont="1" applyAlignment="1">
      <alignment horizontal="right"/>
    </xf>
    <xf numFmtId="0" fontId="2" fillId="0" borderId="0" xfId="0" applyFont="1" applyAlignment="1">
      <alignment wrapText="1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vertical="center" wrapText="1"/>
    </xf>
    <xf numFmtId="164" fontId="5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9" fillId="0" borderId="5" xfId="2" applyFont="1" applyBorder="1"/>
    <xf numFmtId="0" fontId="2" fillId="0" borderId="2" xfId="0" applyFont="1" applyBorder="1"/>
    <xf numFmtId="0" fontId="2" fillId="0" borderId="19" xfId="0" applyFont="1" applyBorder="1"/>
    <xf numFmtId="0" fontId="5" fillId="3" borderId="20" xfId="0" applyFont="1" applyFill="1" applyBorder="1" applyAlignment="1" applyProtection="1">
      <alignment horizontal="center"/>
      <protection locked="0"/>
    </xf>
    <xf numFmtId="0" fontId="6" fillId="4" borderId="8" xfId="0" applyFont="1" applyFill="1" applyBorder="1" applyAlignment="1" applyProtection="1">
      <alignment horizontal="center" vertical="center" wrapText="1"/>
      <protection locked="0"/>
    </xf>
    <xf numFmtId="0" fontId="6" fillId="4" borderId="11" xfId="0" applyFont="1" applyFill="1" applyBorder="1" applyAlignment="1" applyProtection="1">
      <alignment horizontal="center" vertical="center" wrapText="1"/>
      <protection locked="0"/>
    </xf>
    <xf numFmtId="0" fontId="6" fillId="4" borderId="13" xfId="0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Alignment="1">
      <alignment horizontal="center" vertical="center" wrapText="1"/>
    </xf>
    <xf numFmtId="9" fontId="5" fillId="0" borderId="0" xfId="0" applyNumberFormat="1" applyFont="1" applyAlignment="1">
      <alignment horizontal="center" vertical="center" wrapText="1"/>
    </xf>
  </cellXfs>
  <cellStyles count="3">
    <cellStyle name="20% — акцент6" xfId="1" builtinId="50"/>
    <cellStyle name="Заголовок 1" xfId="2" builtinId="16"/>
    <cellStyle name="Обычный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Распределение времени обслуживания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'Лист 1'!$D$20:$D$69</c:f>
              <c:numCache>
                <c:formatCode>General</c:formatCode>
                <c:ptCount val="50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5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5</c:v>
                </c:pt>
                <c:pt idx="9">
                  <c:v>5</c:v>
                </c:pt>
                <c:pt idx="10">
                  <c:v>3</c:v>
                </c:pt>
                <c:pt idx="11">
                  <c:v>3</c:v>
                </c:pt>
                <c:pt idx="12">
                  <c:v>10</c:v>
                </c:pt>
                <c:pt idx="13">
                  <c:v>1</c:v>
                </c:pt>
                <c:pt idx="14">
                  <c:v>1</c:v>
                </c:pt>
                <c:pt idx="15">
                  <c:v>5</c:v>
                </c:pt>
                <c:pt idx="16">
                  <c:v>1</c:v>
                </c:pt>
                <c:pt idx="17">
                  <c:v>10</c:v>
                </c:pt>
                <c:pt idx="18">
                  <c:v>5</c:v>
                </c:pt>
                <c:pt idx="19">
                  <c:v>5</c:v>
                </c:pt>
                <c:pt idx="20">
                  <c:v>3</c:v>
                </c:pt>
                <c:pt idx="21">
                  <c:v>3</c:v>
                </c:pt>
                <c:pt idx="22">
                  <c:v>10</c:v>
                </c:pt>
                <c:pt idx="23">
                  <c:v>10</c:v>
                </c:pt>
                <c:pt idx="24">
                  <c:v>10</c:v>
                </c:pt>
                <c:pt idx="25">
                  <c:v>10</c:v>
                </c:pt>
                <c:pt idx="26">
                  <c:v>3</c:v>
                </c:pt>
                <c:pt idx="27">
                  <c:v>3</c:v>
                </c:pt>
                <c:pt idx="28">
                  <c:v>1</c:v>
                </c:pt>
                <c:pt idx="29">
                  <c:v>1</c:v>
                </c:pt>
                <c:pt idx="30">
                  <c:v>5</c:v>
                </c:pt>
                <c:pt idx="31">
                  <c:v>10</c:v>
                </c:pt>
                <c:pt idx="32">
                  <c:v>10</c:v>
                </c:pt>
                <c:pt idx="33">
                  <c:v>3</c:v>
                </c:pt>
                <c:pt idx="34">
                  <c:v>10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10</c:v>
                </c:pt>
                <c:pt idx="40">
                  <c:v>10</c:v>
                </c:pt>
                <c:pt idx="41">
                  <c:v>10</c:v>
                </c:pt>
                <c:pt idx="42">
                  <c:v>3</c:v>
                </c:pt>
                <c:pt idx="43">
                  <c:v>10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10</c:v>
                </c:pt>
                <c:pt idx="48">
                  <c:v>5</c:v>
                </c:pt>
                <c:pt idx="4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7E-4E33-9CF4-D7219F9E21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2146016"/>
        <c:axId val="1692155616"/>
      </c:barChart>
      <c:catAx>
        <c:axId val="16921460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Количество клиентов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92155616"/>
        <c:crosses val="autoZero"/>
        <c:auto val="1"/>
        <c:lblAlgn val="ctr"/>
        <c:lblOffset val="100"/>
        <c:noMultiLvlLbl val="0"/>
      </c:catAx>
      <c:valAx>
        <c:axId val="169215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effectLst/>
                  </a:rPr>
                  <a:t>Время (мин)</a:t>
                </a:r>
                <a:endParaRPr lang="ru-RU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92146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Загрузка серверов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FA8-4137-B748-BBBED6D09D29}"/>
              </c:ext>
            </c:extLst>
          </c:dPt>
          <c:dPt>
            <c:idx val="1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FA8-4137-B748-BBBED6D09D29}"/>
              </c:ext>
            </c:extLst>
          </c:dPt>
          <c:dPt>
            <c:idx val="2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FA8-4137-B748-BBBED6D09D2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'Лист 1'!$Q$75:$Q$77</c:f>
              <c:strCache>
                <c:ptCount val="3"/>
                <c:pt idx="0">
                  <c:v>Сервер 1</c:v>
                </c:pt>
                <c:pt idx="1">
                  <c:v>Сервер 2</c:v>
                </c:pt>
                <c:pt idx="2">
                  <c:v>Сервер 3</c:v>
                </c:pt>
              </c:strCache>
            </c:strRef>
          </c:cat>
          <c:val>
            <c:numRef>
              <c:f>'Лист 1'!$R$75:$R$77</c:f>
              <c:numCache>
                <c:formatCode>h:mm;@</c:formatCode>
                <c:ptCount val="3"/>
                <c:pt idx="0">
                  <c:v>0.83333333333333359</c:v>
                </c:pt>
                <c:pt idx="1">
                  <c:v>0.84166666666666701</c:v>
                </c:pt>
                <c:pt idx="2">
                  <c:v>0.58333333333333348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40-4001-8614-91A8AEDA8625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34D-4A56-A64A-CC46E374B73D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34D-4A56-A64A-CC46E374B73D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E34D-4A56-A64A-CC46E374B73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'Лист 1'!$Q$75:$Q$77</c:f>
              <c:strCache>
                <c:ptCount val="3"/>
                <c:pt idx="0">
                  <c:v>Сервер 1</c:v>
                </c:pt>
                <c:pt idx="1">
                  <c:v>Сервер 2</c:v>
                </c:pt>
                <c:pt idx="2">
                  <c:v>Сервер 3</c:v>
                </c:pt>
              </c:strCache>
            </c:strRef>
          </c:cat>
          <c:val>
            <c:numRef>
              <c:f>'Лист 1'!$R$75:$R$77</c:f>
              <c:numCache>
                <c:formatCode>h:mm;@</c:formatCode>
                <c:ptCount val="3"/>
                <c:pt idx="0">
                  <c:v>0.83333333333333359</c:v>
                </c:pt>
                <c:pt idx="1">
                  <c:v>0.84166666666666701</c:v>
                </c:pt>
                <c:pt idx="2">
                  <c:v>0.58333333333333348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FA8-4137-B748-BBBED6D09D2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effectLst/>
              </a:rPr>
              <a:t>Таймлайн работы серверов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Начало обслуживания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'Лист 1'!$M$20:$M$69</c:f>
              <c:numCache>
                <c:formatCode>h:mm;@</c:formatCode>
                <c:ptCount val="50"/>
                <c:pt idx="0">
                  <c:v>0.37569444444444444</c:v>
                </c:pt>
                <c:pt idx="1">
                  <c:v>0.37777777777777777</c:v>
                </c:pt>
                <c:pt idx="2">
                  <c:v>0.37847222222222221</c:v>
                </c:pt>
                <c:pt idx="3">
                  <c:v>0.38263888888888886</c:v>
                </c:pt>
                <c:pt idx="4">
                  <c:v>0.38472222222222219</c:v>
                </c:pt>
                <c:pt idx="5">
                  <c:v>0.38472222222222219</c:v>
                </c:pt>
                <c:pt idx="6">
                  <c:v>0.38472222222222219</c:v>
                </c:pt>
                <c:pt idx="7">
                  <c:v>0.38541666666666663</c:v>
                </c:pt>
                <c:pt idx="8">
                  <c:v>0.38958333333333328</c:v>
                </c:pt>
                <c:pt idx="9">
                  <c:v>0.38958333333333328</c:v>
                </c:pt>
                <c:pt idx="10">
                  <c:v>0.38958333333333328</c:v>
                </c:pt>
                <c:pt idx="11">
                  <c:v>0.39166666666666661</c:v>
                </c:pt>
                <c:pt idx="12">
                  <c:v>0.39166666666666661</c:v>
                </c:pt>
                <c:pt idx="13">
                  <c:v>0.39374999999999993</c:v>
                </c:pt>
                <c:pt idx="14">
                  <c:v>0.39513888888888882</c:v>
                </c:pt>
                <c:pt idx="15">
                  <c:v>0.3965277777777777</c:v>
                </c:pt>
                <c:pt idx="16">
                  <c:v>0.39861111111111103</c:v>
                </c:pt>
                <c:pt idx="17">
                  <c:v>0.40069444444444435</c:v>
                </c:pt>
                <c:pt idx="18">
                  <c:v>0.4013888888888888</c:v>
                </c:pt>
                <c:pt idx="19">
                  <c:v>0.40208333333333324</c:v>
                </c:pt>
                <c:pt idx="20">
                  <c:v>0.40486111111111101</c:v>
                </c:pt>
                <c:pt idx="21">
                  <c:v>0.40555555555555545</c:v>
                </c:pt>
                <c:pt idx="22">
                  <c:v>0.40694444444444433</c:v>
                </c:pt>
                <c:pt idx="23">
                  <c:v>0.40763888888888877</c:v>
                </c:pt>
                <c:pt idx="24">
                  <c:v>0.40763888888888877</c:v>
                </c:pt>
                <c:pt idx="25">
                  <c:v>0.41388888888888875</c:v>
                </c:pt>
                <c:pt idx="26">
                  <c:v>0.41388888888888875</c:v>
                </c:pt>
                <c:pt idx="27">
                  <c:v>0.41388888888888875</c:v>
                </c:pt>
                <c:pt idx="28">
                  <c:v>0.41458333333333319</c:v>
                </c:pt>
                <c:pt idx="29">
                  <c:v>0.41458333333333319</c:v>
                </c:pt>
                <c:pt idx="30">
                  <c:v>0.41597222222222208</c:v>
                </c:pt>
                <c:pt idx="31">
                  <c:v>0.4180555555555554</c:v>
                </c:pt>
                <c:pt idx="32">
                  <c:v>0.42013888888888873</c:v>
                </c:pt>
                <c:pt idx="33">
                  <c:v>0.42152777777777761</c:v>
                </c:pt>
                <c:pt idx="34">
                  <c:v>0.42361111111111094</c:v>
                </c:pt>
                <c:pt idx="35">
                  <c:v>0.42499999999999982</c:v>
                </c:pt>
                <c:pt idx="36">
                  <c:v>0.42708333333333315</c:v>
                </c:pt>
                <c:pt idx="37">
                  <c:v>0.42847222222222203</c:v>
                </c:pt>
                <c:pt idx="38">
                  <c:v>0.43055555555555536</c:v>
                </c:pt>
                <c:pt idx="39">
                  <c:v>0.43194444444444424</c:v>
                </c:pt>
                <c:pt idx="40">
                  <c:v>0.43402777777777757</c:v>
                </c:pt>
                <c:pt idx="41">
                  <c:v>0.43611111111111089</c:v>
                </c:pt>
                <c:pt idx="42">
                  <c:v>0.43888888888888866</c:v>
                </c:pt>
                <c:pt idx="43">
                  <c:v>0.44097222222222199</c:v>
                </c:pt>
                <c:pt idx="44">
                  <c:v>0.44097222222222199</c:v>
                </c:pt>
                <c:pt idx="45">
                  <c:v>0.44305555555555531</c:v>
                </c:pt>
                <c:pt idx="46">
                  <c:v>0.44305555555555531</c:v>
                </c:pt>
                <c:pt idx="47">
                  <c:v>0.44513888888888864</c:v>
                </c:pt>
                <c:pt idx="48">
                  <c:v>0.44652777777777752</c:v>
                </c:pt>
                <c:pt idx="49">
                  <c:v>0.44791666666666641</c:v>
                </c:pt>
              </c:numCache>
            </c:numRef>
          </c:xVal>
          <c:yVal>
            <c:numRef>
              <c:f>'Лист 1'!$N$20:$N$69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2</c:v>
                </c:pt>
                <c:pt idx="19">
                  <c:v>3</c:v>
                </c:pt>
                <c:pt idx="20">
                  <c:v>2</c:v>
                </c:pt>
                <c:pt idx="21">
                  <c:v>3</c:v>
                </c:pt>
                <c:pt idx="22">
                  <c:v>2</c:v>
                </c:pt>
                <c:pt idx="23">
                  <c:v>1</c:v>
                </c:pt>
                <c:pt idx="24">
                  <c:v>3</c:v>
                </c:pt>
                <c:pt idx="25">
                  <c:v>0</c:v>
                </c:pt>
                <c:pt idx="26">
                  <c:v>0</c:v>
                </c:pt>
                <c:pt idx="27">
                  <c:v>2</c:v>
                </c:pt>
                <c:pt idx="28">
                  <c:v>1</c:v>
                </c:pt>
                <c:pt idx="29">
                  <c:v>3</c:v>
                </c:pt>
                <c:pt idx="30">
                  <c:v>1</c:v>
                </c:pt>
                <c:pt idx="31">
                  <c:v>2</c:v>
                </c:pt>
                <c:pt idx="32">
                  <c:v>1</c:v>
                </c:pt>
                <c:pt idx="33">
                  <c:v>3</c:v>
                </c:pt>
                <c:pt idx="34">
                  <c:v>3</c:v>
                </c:pt>
                <c:pt idx="35">
                  <c:v>2</c:v>
                </c:pt>
                <c:pt idx="36">
                  <c:v>1</c:v>
                </c:pt>
                <c:pt idx="37">
                  <c:v>2</c:v>
                </c:pt>
                <c:pt idx="38">
                  <c:v>1</c:v>
                </c:pt>
                <c:pt idx="39">
                  <c:v>2</c:v>
                </c:pt>
                <c:pt idx="40">
                  <c:v>1</c:v>
                </c:pt>
                <c:pt idx="41">
                  <c:v>3</c:v>
                </c:pt>
                <c:pt idx="42">
                  <c:v>2</c:v>
                </c:pt>
                <c:pt idx="43">
                  <c:v>1</c:v>
                </c:pt>
                <c:pt idx="44">
                  <c:v>2</c:v>
                </c:pt>
                <c:pt idx="45">
                  <c:v>2</c:v>
                </c:pt>
                <c:pt idx="46">
                  <c:v>3</c:v>
                </c:pt>
                <c:pt idx="47">
                  <c:v>2</c:v>
                </c:pt>
                <c:pt idx="48">
                  <c:v>3</c:v>
                </c:pt>
                <c:pt idx="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F0-4523-AD60-AE6FE85CCD29}"/>
            </c:ext>
          </c:extLst>
        </c:ser>
        <c:ser>
          <c:idx val="1"/>
          <c:order val="1"/>
          <c:tx>
            <c:v>Конец обслуживания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'Лист 1'!$Y$20:$Y$69</c:f>
              <c:numCache>
                <c:formatCode>h:mm;@</c:formatCode>
                <c:ptCount val="50"/>
                <c:pt idx="0">
                  <c:v>0.38263888888888886</c:v>
                </c:pt>
                <c:pt idx="1">
                  <c:v>0.38472222222222219</c:v>
                </c:pt>
                <c:pt idx="2">
                  <c:v>0.38541666666666663</c:v>
                </c:pt>
                <c:pt idx="3">
                  <c:v>0.38958333333333328</c:v>
                </c:pt>
                <c:pt idx="4">
                  <c:v>0.3833333333333333</c:v>
                </c:pt>
                <c:pt idx="5">
                  <c:v>0.38402777777777775</c:v>
                </c:pt>
                <c:pt idx="6">
                  <c:v>0.39166666666666661</c:v>
                </c:pt>
                <c:pt idx="7">
                  <c:v>0.39236111111111105</c:v>
                </c:pt>
                <c:pt idx="8">
                  <c:v>0.38749999999999996</c:v>
                </c:pt>
                <c:pt idx="9">
                  <c:v>0.38888888888888884</c:v>
                </c:pt>
                <c:pt idx="10">
                  <c:v>0.39166666666666661</c:v>
                </c:pt>
                <c:pt idx="11">
                  <c:v>0.39374999999999993</c:v>
                </c:pt>
                <c:pt idx="12">
                  <c:v>0.39861111111111103</c:v>
                </c:pt>
                <c:pt idx="13">
                  <c:v>0.39444444444444438</c:v>
                </c:pt>
                <c:pt idx="14">
                  <c:v>0.39583333333333326</c:v>
                </c:pt>
                <c:pt idx="15">
                  <c:v>0.39999999999999991</c:v>
                </c:pt>
                <c:pt idx="16">
                  <c:v>0.39930555555555547</c:v>
                </c:pt>
                <c:pt idx="17">
                  <c:v>0.40763888888888877</c:v>
                </c:pt>
                <c:pt idx="18">
                  <c:v>0.40486111111111101</c:v>
                </c:pt>
                <c:pt idx="19">
                  <c:v>0.40555555555555545</c:v>
                </c:pt>
                <c:pt idx="20">
                  <c:v>0.40694444444444433</c:v>
                </c:pt>
                <c:pt idx="21">
                  <c:v>0.40763888888888877</c:v>
                </c:pt>
                <c:pt idx="22">
                  <c:v>0.41388888888888875</c:v>
                </c:pt>
                <c:pt idx="23">
                  <c:v>0.41458333333333319</c:v>
                </c:pt>
                <c:pt idx="24">
                  <c:v>0.41458333333333319</c:v>
                </c:pt>
                <c:pt idx="25">
                  <c:v>0.41041666666666654</c:v>
                </c:pt>
                <c:pt idx="26">
                  <c:v>0.41180555555555542</c:v>
                </c:pt>
                <c:pt idx="27">
                  <c:v>0.41597222222222208</c:v>
                </c:pt>
                <c:pt idx="28">
                  <c:v>0.41527777777777763</c:v>
                </c:pt>
                <c:pt idx="29">
                  <c:v>0.41527777777777763</c:v>
                </c:pt>
                <c:pt idx="30">
                  <c:v>0.41944444444444429</c:v>
                </c:pt>
                <c:pt idx="31">
                  <c:v>0.42499999999999982</c:v>
                </c:pt>
                <c:pt idx="32">
                  <c:v>0.42708333333333315</c:v>
                </c:pt>
                <c:pt idx="33">
                  <c:v>0.42361111111111094</c:v>
                </c:pt>
                <c:pt idx="34">
                  <c:v>0.43055555555555536</c:v>
                </c:pt>
                <c:pt idx="35">
                  <c:v>0.42847222222222203</c:v>
                </c:pt>
                <c:pt idx="36">
                  <c:v>0.43055555555555536</c:v>
                </c:pt>
                <c:pt idx="37">
                  <c:v>0.43194444444444424</c:v>
                </c:pt>
                <c:pt idx="38">
                  <c:v>0.43402777777777757</c:v>
                </c:pt>
                <c:pt idx="39">
                  <c:v>0.43888888888888866</c:v>
                </c:pt>
                <c:pt idx="40">
                  <c:v>0.44097222222222199</c:v>
                </c:pt>
                <c:pt idx="41">
                  <c:v>0.44305555555555531</c:v>
                </c:pt>
                <c:pt idx="42">
                  <c:v>0.44097222222222199</c:v>
                </c:pt>
                <c:pt idx="43">
                  <c:v>0.44791666666666641</c:v>
                </c:pt>
                <c:pt idx="44">
                  <c:v>0.44305555555555531</c:v>
                </c:pt>
                <c:pt idx="45">
                  <c:v>0.44513888888888864</c:v>
                </c:pt>
                <c:pt idx="46">
                  <c:v>0.44513888888888864</c:v>
                </c:pt>
                <c:pt idx="47">
                  <c:v>0.45208333333333306</c:v>
                </c:pt>
                <c:pt idx="48">
                  <c:v>0.44999999999999973</c:v>
                </c:pt>
                <c:pt idx="49">
                  <c:v>0.44861111111111085</c:v>
                </c:pt>
              </c:numCache>
            </c:numRef>
          </c:xVal>
          <c:yVal>
            <c:numRef>
              <c:f>'Лист 1'!$N$20:$N$69</c:f>
              <c:numCache>
                <c:formatCode>General</c:formatCode>
                <c:ptCount val="5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2</c:v>
                </c:pt>
                <c:pt idx="19">
                  <c:v>3</c:v>
                </c:pt>
                <c:pt idx="20">
                  <c:v>2</c:v>
                </c:pt>
                <c:pt idx="21">
                  <c:v>3</c:v>
                </c:pt>
                <c:pt idx="22">
                  <c:v>2</c:v>
                </c:pt>
                <c:pt idx="23">
                  <c:v>1</c:v>
                </c:pt>
                <c:pt idx="24">
                  <c:v>3</c:v>
                </c:pt>
                <c:pt idx="25">
                  <c:v>0</c:v>
                </c:pt>
                <c:pt idx="26">
                  <c:v>0</c:v>
                </c:pt>
                <c:pt idx="27">
                  <c:v>2</c:v>
                </c:pt>
                <c:pt idx="28">
                  <c:v>1</c:v>
                </c:pt>
                <c:pt idx="29">
                  <c:v>3</c:v>
                </c:pt>
                <c:pt idx="30">
                  <c:v>1</c:v>
                </c:pt>
                <c:pt idx="31">
                  <c:v>2</c:v>
                </c:pt>
                <c:pt idx="32">
                  <c:v>1</c:v>
                </c:pt>
                <c:pt idx="33">
                  <c:v>3</c:v>
                </c:pt>
                <c:pt idx="34">
                  <c:v>3</c:v>
                </c:pt>
                <c:pt idx="35">
                  <c:v>2</c:v>
                </c:pt>
                <c:pt idx="36">
                  <c:v>1</c:v>
                </c:pt>
                <c:pt idx="37">
                  <c:v>2</c:v>
                </c:pt>
                <c:pt idx="38">
                  <c:v>1</c:v>
                </c:pt>
                <c:pt idx="39">
                  <c:v>2</c:v>
                </c:pt>
                <c:pt idx="40">
                  <c:v>1</c:v>
                </c:pt>
                <c:pt idx="41">
                  <c:v>3</c:v>
                </c:pt>
                <c:pt idx="42">
                  <c:v>2</c:v>
                </c:pt>
                <c:pt idx="43">
                  <c:v>1</c:v>
                </c:pt>
                <c:pt idx="44">
                  <c:v>2</c:v>
                </c:pt>
                <c:pt idx="45">
                  <c:v>2</c:v>
                </c:pt>
                <c:pt idx="46">
                  <c:v>3</c:v>
                </c:pt>
                <c:pt idx="47">
                  <c:v>2</c:v>
                </c:pt>
                <c:pt idx="48">
                  <c:v>3</c:v>
                </c:pt>
                <c:pt idx="49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F0-4523-AD60-AE6FE85CCD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7502175"/>
        <c:axId val="827502655"/>
      </c:scatterChart>
      <c:valAx>
        <c:axId val="827502175"/>
        <c:scaling>
          <c:orientation val="minMax"/>
          <c:max val="0.45833000000000002"/>
          <c:min val="0.37500000000000006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baseline="0">
                    <a:effectLst/>
                  </a:rPr>
                  <a:t>Время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h:mm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27502655"/>
        <c:crosses val="autoZero"/>
        <c:crossBetween val="midCat"/>
      </c:valAx>
      <c:valAx>
        <c:axId val="827502655"/>
        <c:scaling>
          <c:orientation val="maxMin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baseline="0">
                    <a:effectLst/>
                  </a:rPr>
                  <a:t>Номер сервера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27502175"/>
        <c:crosses val="autoZero"/>
        <c:crossBetween val="midCat"/>
        <c:majorUnit val="1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70</xdr:row>
      <xdr:rowOff>4761</xdr:rowOff>
    </xdr:from>
    <xdr:to>
      <xdr:col>13</xdr:col>
      <xdr:colOff>19050</xdr:colOff>
      <xdr:row>99</xdr:row>
      <xdr:rowOff>133350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7EC76560-3348-6917-0E65-C1D21E14D3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9525</xdr:colOff>
      <xdr:row>80</xdr:row>
      <xdr:rowOff>4762</xdr:rowOff>
    </xdr:from>
    <xdr:to>
      <xdr:col>19</xdr:col>
      <xdr:colOff>609600</xdr:colOff>
      <xdr:row>94</xdr:row>
      <xdr:rowOff>152400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D2457885-40FB-6820-8863-A3EE4093C8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9525</xdr:colOff>
      <xdr:row>70</xdr:row>
      <xdr:rowOff>138112</xdr:rowOff>
    </xdr:from>
    <xdr:to>
      <xdr:col>30</xdr:col>
      <xdr:colOff>0</xdr:colOff>
      <xdr:row>97</xdr:row>
      <xdr:rowOff>28575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99A0D916-BFB6-6EA1-5946-7DC2C791C7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EF993-0199-40D4-B27E-54C031C45953}">
  <dimension ref="A1:AB100"/>
  <sheetViews>
    <sheetView tabSelected="1" zoomScale="85" zoomScaleNormal="85" workbookViewId="0">
      <selection activeCell="I9" sqref="I9"/>
    </sheetView>
  </sheetViews>
  <sheetFormatPr defaultColWidth="9.109375" defaultRowHeight="13.8" x14ac:dyDescent="0.3"/>
  <cols>
    <col min="1" max="2" width="9.21875" style="2" customWidth="1"/>
    <col min="3" max="5" width="9.21875" style="2" bestFit="1" customWidth="1"/>
    <col min="6" max="7" width="9.21875" style="32" bestFit="1" customWidth="1"/>
    <col min="8" max="9" width="9.109375" style="2"/>
    <col min="10" max="14" width="9.21875" style="2" bestFit="1" customWidth="1"/>
    <col min="15" max="15" width="9.109375" style="32" customWidth="1"/>
    <col min="16" max="16" width="10.44140625" style="32" customWidth="1"/>
    <col min="17" max="19" width="9.21875" style="32" bestFit="1" customWidth="1"/>
    <col min="20" max="21" width="9.21875" style="32" customWidth="1"/>
    <col min="22" max="25" width="9.21875" style="32" bestFit="1" customWidth="1"/>
    <col min="26" max="26" width="9.21875" style="2" bestFit="1" customWidth="1"/>
    <col min="27" max="27" width="9.109375" style="2"/>
    <col min="28" max="28" width="9.109375" style="2" customWidth="1"/>
    <col min="29" max="16384" width="9.109375" style="2"/>
  </cols>
  <sheetData>
    <row r="1" spans="1:26" ht="18" x14ac:dyDescent="0.35">
      <c r="B1" s="50" t="s">
        <v>0</v>
      </c>
      <c r="F1" s="2"/>
      <c r="G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6" ht="14.4" thickBot="1" x14ac:dyDescent="0.35">
      <c r="A2" s="7" t="s">
        <v>1</v>
      </c>
      <c r="B2" s="8"/>
      <c r="C2" s="9" t="s">
        <v>2</v>
      </c>
      <c r="D2" s="3"/>
      <c r="E2" s="10" t="s">
        <v>3</v>
      </c>
      <c r="F2" s="51"/>
      <c r="G2" s="34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6" x14ac:dyDescent="0.3">
      <c r="A3" s="11">
        <v>0.375</v>
      </c>
      <c r="B3" s="12"/>
      <c r="C3" s="13">
        <v>0.45833333333333331</v>
      </c>
      <c r="D3" s="4"/>
      <c r="E3" s="53">
        <v>3</v>
      </c>
      <c r="F3" s="52"/>
      <c r="G3" s="35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6" x14ac:dyDescent="0.3">
      <c r="F4" s="2"/>
      <c r="G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6" ht="14.4" thickBot="1" x14ac:dyDescent="0.35">
      <c r="A5" s="40"/>
      <c r="D5" s="41"/>
      <c r="F5" s="2"/>
      <c r="G5" s="41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6" ht="15" customHeight="1" x14ac:dyDescent="0.3">
      <c r="A6" s="54" t="s">
        <v>4</v>
      </c>
      <c r="B6" s="14" t="s">
        <v>5</v>
      </c>
      <c r="C6" s="14" t="s">
        <v>6</v>
      </c>
      <c r="D6" s="15" t="s">
        <v>7</v>
      </c>
      <c r="F6" s="2"/>
      <c r="G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6" x14ac:dyDescent="0.3">
      <c r="A7" s="55"/>
      <c r="B7" s="16" t="s">
        <v>8</v>
      </c>
      <c r="C7" s="16" t="s">
        <v>8</v>
      </c>
      <c r="D7" s="17" t="s">
        <v>9</v>
      </c>
      <c r="F7" s="2"/>
      <c r="G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6" ht="14.4" thickBot="1" x14ac:dyDescent="0.35">
      <c r="A8" s="56"/>
      <c r="B8" s="18"/>
      <c r="C8" s="18"/>
      <c r="D8" s="19" t="s">
        <v>10</v>
      </c>
      <c r="F8" s="2"/>
      <c r="G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6" x14ac:dyDescent="0.3">
      <c r="A9" s="5">
        <v>0.15</v>
      </c>
      <c r="B9" s="20">
        <v>0</v>
      </c>
      <c r="C9" s="21">
        <f>B9+A9</f>
        <v>0.15</v>
      </c>
      <c r="D9" s="22">
        <v>1</v>
      </c>
      <c r="F9" s="2"/>
      <c r="G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6" x14ac:dyDescent="0.3">
      <c r="A10" s="5">
        <v>0.25</v>
      </c>
      <c r="B10" s="21">
        <f>C9</f>
        <v>0.15</v>
      </c>
      <c r="C10" s="21">
        <f>B10+A10</f>
        <v>0.4</v>
      </c>
      <c r="D10" s="22">
        <v>3</v>
      </c>
      <c r="F10" s="2"/>
      <c r="G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6" x14ac:dyDescent="0.3">
      <c r="A11" s="5">
        <v>0.25</v>
      </c>
      <c r="B11" s="21">
        <f>C10</f>
        <v>0.4</v>
      </c>
      <c r="C11" s="21">
        <f>B11+A11</f>
        <v>0.65</v>
      </c>
      <c r="D11" s="22">
        <v>5</v>
      </c>
      <c r="F11" s="2"/>
      <c r="G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6" ht="14.4" thickBot="1" x14ac:dyDescent="0.35">
      <c r="A12" s="6">
        <v>0.35</v>
      </c>
      <c r="B12" s="23">
        <f>C11</f>
        <v>0.65</v>
      </c>
      <c r="C12" s="23">
        <f>B12+A12</f>
        <v>1</v>
      </c>
      <c r="D12" s="24">
        <v>10</v>
      </c>
      <c r="F12" s="2"/>
      <c r="G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6" x14ac:dyDescent="0.3">
      <c r="F13" s="2"/>
      <c r="G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6" x14ac:dyDescent="0.3">
      <c r="A14" s="25"/>
      <c r="B14" s="26" t="s">
        <v>11</v>
      </c>
      <c r="C14" s="27"/>
      <c r="D14" s="26" t="s">
        <v>12</v>
      </c>
      <c r="E14" s="27"/>
      <c r="F14" s="27" t="s">
        <v>13</v>
      </c>
      <c r="G14" s="27" t="s">
        <v>14</v>
      </c>
      <c r="H14" s="27"/>
      <c r="I14" s="27" t="s">
        <v>7</v>
      </c>
      <c r="J14" s="27" t="s">
        <v>15</v>
      </c>
      <c r="K14" s="27" t="s">
        <v>16</v>
      </c>
      <c r="L14" s="27" t="s">
        <v>17</v>
      </c>
      <c r="M14" s="27" t="s">
        <v>18</v>
      </c>
      <c r="N14" s="27"/>
      <c r="O14" s="36"/>
      <c r="P14" s="36"/>
      <c r="Q14" s="36"/>
      <c r="R14" s="36"/>
      <c r="S14" s="36"/>
      <c r="T14" s="36"/>
      <c r="U14" s="36" t="s">
        <v>19</v>
      </c>
      <c r="V14" s="36" t="s">
        <v>20</v>
      </c>
      <c r="W14" s="36"/>
      <c r="X14" s="27" t="s">
        <v>7</v>
      </c>
      <c r="Y14" s="27" t="s">
        <v>21</v>
      </c>
      <c r="Z14" s="37" t="s">
        <v>22</v>
      </c>
    </row>
    <row r="15" spans="1:26" x14ac:dyDescent="0.3">
      <c r="A15" s="28" t="s">
        <v>23</v>
      </c>
      <c r="B15" s="29" t="s">
        <v>24</v>
      </c>
      <c r="C15" s="28" t="s">
        <v>25</v>
      </c>
      <c r="D15" s="29" t="s">
        <v>26</v>
      </c>
      <c r="E15" s="28" t="s">
        <v>25</v>
      </c>
      <c r="F15" s="28" t="s">
        <v>27</v>
      </c>
      <c r="G15" s="28" t="s">
        <v>27</v>
      </c>
      <c r="H15" s="28" t="s">
        <v>28</v>
      </c>
      <c r="I15" s="28" t="s">
        <v>29</v>
      </c>
      <c r="J15" s="28" t="s">
        <v>30</v>
      </c>
      <c r="K15" s="28" t="s">
        <v>30</v>
      </c>
      <c r="L15" s="28" t="s">
        <v>30</v>
      </c>
      <c r="M15" s="28" t="s">
        <v>7</v>
      </c>
      <c r="N15" s="28" t="s">
        <v>31</v>
      </c>
      <c r="O15" s="28" t="s">
        <v>67</v>
      </c>
      <c r="P15" s="28"/>
      <c r="Q15" s="28" t="s">
        <v>32</v>
      </c>
      <c r="R15" s="28"/>
      <c r="S15" s="28" t="s">
        <v>33</v>
      </c>
      <c r="T15" s="28"/>
      <c r="U15" s="28" t="s">
        <v>34</v>
      </c>
      <c r="V15" s="28" t="s">
        <v>34</v>
      </c>
      <c r="W15" s="28" t="s">
        <v>35</v>
      </c>
      <c r="X15" s="28" t="s">
        <v>36</v>
      </c>
      <c r="Y15" s="28" t="s">
        <v>7</v>
      </c>
      <c r="Z15" s="38" t="s">
        <v>37</v>
      </c>
    </row>
    <row r="16" spans="1:26" x14ac:dyDescent="0.3">
      <c r="A16" s="28" t="s">
        <v>38</v>
      </c>
      <c r="B16" s="29" t="s">
        <v>39</v>
      </c>
      <c r="C16" s="28" t="s">
        <v>40</v>
      </c>
      <c r="D16" s="29" t="s">
        <v>41</v>
      </c>
      <c r="E16" s="28" t="s">
        <v>36</v>
      </c>
      <c r="F16" s="28" t="s">
        <v>24</v>
      </c>
      <c r="G16" s="28" t="s">
        <v>42</v>
      </c>
      <c r="H16" s="28" t="s">
        <v>43</v>
      </c>
      <c r="I16" s="28" t="s">
        <v>37</v>
      </c>
      <c r="J16" s="28" t="s">
        <v>26</v>
      </c>
      <c r="K16" s="28" t="s">
        <v>26</v>
      </c>
      <c r="L16" s="28" t="s">
        <v>26</v>
      </c>
      <c r="M16" s="28" t="s">
        <v>44</v>
      </c>
      <c r="N16" s="28" t="s">
        <v>45</v>
      </c>
      <c r="O16" s="28" t="s">
        <v>46</v>
      </c>
      <c r="P16" s="28" t="s">
        <v>47</v>
      </c>
      <c r="Q16" s="28" t="s">
        <v>46</v>
      </c>
      <c r="R16" s="28" t="s">
        <v>47</v>
      </c>
      <c r="S16" s="28" t="s">
        <v>46</v>
      </c>
      <c r="T16" s="28" t="s">
        <v>47</v>
      </c>
      <c r="U16" s="28" t="s">
        <v>37</v>
      </c>
      <c r="V16" s="28" t="s">
        <v>37</v>
      </c>
      <c r="W16" s="28" t="s">
        <v>48</v>
      </c>
      <c r="X16" s="28" t="s">
        <v>49</v>
      </c>
      <c r="Y16" s="28" t="s">
        <v>50</v>
      </c>
      <c r="Z16" s="38" t="s">
        <v>51</v>
      </c>
    </row>
    <row r="17" spans="1:28" ht="14.4" thickBot="1" x14ac:dyDescent="0.35">
      <c r="A17" s="30"/>
      <c r="B17" s="31" t="s">
        <v>10</v>
      </c>
      <c r="C17" s="30" t="s">
        <v>52</v>
      </c>
      <c r="D17" s="31" t="s">
        <v>10</v>
      </c>
      <c r="E17" s="30" t="s">
        <v>49</v>
      </c>
      <c r="F17" s="30" t="s">
        <v>53</v>
      </c>
      <c r="G17" s="30" t="s">
        <v>53</v>
      </c>
      <c r="H17" s="30" t="s">
        <v>54</v>
      </c>
      <c r="I17" s="30" t="s">
        <v>53</v>
      </c>
      <c r="J17" s="30" t="s">
        <v>53</v>
      </c>
      <c r="K17" s="30" t="s">
        <v>53</v>
      </c>
      <c r="L17" s="30" t="s">
        <v>53</v>
      </c>
      <c r="M17" s="30" t="s">
        <v>53</v>
      </c>
      <c r="N17" s="30"/>
      <c r="O17" s="30" t="s">
        <v>53</v>
      </c>
      <c r="P17" s="30" t="s">
        <v>53</v>
      </c>
      <c r="Q17" s="30" t="s">
        <v>53</v>
      </c>
      <c r="R17" s="30" t="s">
        <v>53</v>
      </c>
      <c r="S17" s="30" t="s">
        <v>53</v>
      </c>
      <c r="T17" s="30" t="s">
        <v>53</v>
      </c>
      <c r="U17" s="30" t="s">
        <v>53</v>
      </c>
      <c r="V17" s="30" t="s">
        <v>53</v>
      </c>
      <c r="W17" s="30" t="s">
        <v>53</v>
      </c>
      <c r="X17" s="30" t="s">
        <v>55</v>
      </c>
      <c r="Y17" s="30"/>
      <c r="Z17" s="39"/>
    </row>
    <row r="18" spans="1:28" x14ac:dyDescent="0.3">
      <c r="F18" s="2"/>
      <c r="G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8" x14ac:dyDescent="0.3">
      <c r="F19" s="47">
        <f>start</f>
        <v>0.375</v>
      </c>
      <c r="G19" s="2"/>
      <c r="O19" s="2"/>
      <c r="P19" s="47">
        <f>start</f>
        <v>0.375</v>
      </c>
      <c r="Q19" s="2"/>
      <c r="R19" s="47">
        <f>start</f>
        <v>0.375</v>
      </c>
      <c r="S19" s="2"/>
      <c r="T19" s="47">
        <f>start</f>
        <v>0.375</v>
      </c>
      <c r="U19" s="2"/>
      <c r="V19" s="2"/>
      <c r="W19" s="2"/>
      <c r="X19" s="2"/>
      <c r="Y19" s="2"/>
    </row>
    <row r="20" spans="1:28" x14ac:dyDescent="0.3">
      <c r="A20" s="2">
        <v>1</v>
      </c>
      <c r="B20" s="44">
        <f ca="1">RANDBETWEEN(1,3)</f>
        <v>1</v>
      </c>
      <c r="C20" s="43">
        <f ca="1">B20/(60*24)</f>
        <v>6.9444444444444447E-4</v>
      </c>
      <c r="D20" s="43">
        <f ca="1">VLOOKUP(RAND(),SRVT,3)</f>
        <v>10</v>
      </c>
      <c r="E20" s="44">
        <f ca="1">D20/1440</f>
        <v>6.9444444444444441E-3</v>
      </c>
      <c r="F20" s="47">
        <f ca="1">IF(F19+C20&gt;=closed, "закрыто",F19+C20)</f>
        <v>0.37569444444444444</v>
      </c>
      <c r="G20" s="47">
        <f t="shared" ref="G20:G51" ca="1" si="0">IF(ISTEXT(F20),"",M20-F20)</f>
        <v>0</v>
      </c>
      <c r="H20" s="48" t="str">
        <f t="shared" ref="H20:H51" ca="1" si="1">IF(G20&gt;(renegat/1440),"ушел","")</f>
        <v/>
      </c>
      <c r="I20" s="49" t="str">
        <f t="shared" ref="I20:I51" ca="1" si="2">IF(H20="ушел",F20+(renegat/1440),"")</f>
        <v/>
      </c>
      <c r="J20" s="47">
        <f ca="1">MAX(P19,$F20)</f>
        <v>0.37569444444444444</v>
      </c>
      <c r="K20" s="47">
        <f ca="1">MAX(R19,$F20)</f>
        <v>0.37569444444444444</v>
      </c>
      <c r="L20" s="47">
        <f ca="1">MAX(T19,$F20)</f>
        <v>0.37569444444444444</v>
      </c>
      <c r="M20" s="49">
        <f t="shared" ref="M20:M51" ca="1" si="3">IF(ISTEXT(F20),"",MIN(J20:L20))</f>
        <v>0.37569444444444444</v>
      </c>
      <c r="N20" s="43">
        <f t="shared" ref="N20:N51" ca="1" si="4">IF(OR(ISTEXT(F20),H20="ушел"),"",MATCH(M20,J20:L20,0))</f>
        <v>1</v>
      </c>
      <c r="O20" s="49">
        <f t="shared" ref="O20:O51" ca="1" si="5">IF($N20=1,M20,"")</f>
        <v>0.37569444444444444</v>
      </c>
      <c r="P20" s="46">
        <f t="shared" ref="P20:P51" ca="1" si="6">IF($N20=1,O20+$E20,P19)</f>
        <v>0.38263888888888886</v>
      </c>
      <c r="Q20" s="49" t="str">
        <f t="shared" ref="Q20:Q51" ca="1" si="7">IF($N20=2,M20,"")</f>
        <v/>
      </c>
      <c r="R20" s="47">
        <f t="shared" ref="R20:R51" ca="1" si="8">IF($N20=2,Q20+$E20,R19)</f>
        <v>0.375</v>
      </c>
      <c r="S20" s="49" t="str">
        <f t="shared" ref="S20:S51" ca="1" si="9">IF($N20=3,M20,"")</f>
        <v/>
      </c>
      <c r="T20" s="46">
        <f t="shared" ref="T20:T51" ca="1" si="10">IF($N20=3,S20+$E20,T19)</f>
        <v>0.375</v>
      </c>
      <c r="U20" s="49" t="str">
        <f ca="1">IF(H20="ушел",I20-F20,"")</f>
        <v/>
      </c>
      <c r="V20" s="49">
        <f ca="1">IF(H20="ушел","",F20+G20)</f>
        <v>0.37569444444444444</v>
      </c>
      <c r="W20" s="49">
        <f ca="1">Y20-F20</f>
        <v>6.9444444444444198E-3</v>
      </c>
      <c r="X20" s="49">
        <f ca="1">IF(H20="ушел",W20,$E20+G20)</f>
        <v>6.9444444444444441E-3</v>
      </c>
      <c r="Y20" s="49">
        <f t="shared" ref="Y20:Y51" ca="1" si="11">IF(H20="ушел",I20,CHOOSE(N20,P20,R20,T20))</f>
        <v>0.38263888888888886</v>
      </c>
      <c r="Z20" s="44">
        <v>0</v>
      </c>
      <c r="AA20" s="33"/>
      <c r="AB20" s="1"/>
    </row>
    <row r="21" spans="1:28" x14ac:dyDescent="0.3">
      <c r="A21" s="1">
        <f ca="1">IF(ISTEXT(F21),"закрыто",A20+1)</f>
        <v>2</v>
      </c>
      <c r="B21" s="44">
        <f ca="1">RANDBETWEEN(1,3)</f>
        <v>3</v>
      </c>
      <c r="C21" s="43">
        <f ca="1">B21/(60*24)</f>
        <v>2.0833333333333333E-3</v>
      </c>
      <c r="D21" s="43">
        <f t="shared" ref="D21:D51" ca="1" si="12">VLOOKUP(RAND(),SRVT,3)</f>
        <v>10</v>
      </c>
      <c r="E21" s="44">
        <f ca="1">D21/1440</f>
        <v>6.9444444444444441E-3</v>
      </c>
      <c r="F21" s="47">
        <f t="shared" ref="F21:F52" ca="1" si="13">IF(ISTEXT(F20),"",IF(F20+ C21&gt;=closed,"закрыто",F20+C21))</f>
        <v>0.37777777777777777</v>
      </c>
      <c r="G21" s="47">
        <f t="shared" ca="1" si="0"/>
        <v>0</v>
      </c>
      <c r="H21" s="48" t="str">
        <f t="shared" ca="1" si="1"/>
        <v/>
      </c>
      <c r="I21" s="49" t="str">
        <f t="shared" ca="1" si="2"/>
        <v/>
      </c>
      <c r="J21" s="47">
        <f ca="1">IF(ISTEXT($F21),"",MAX($P$19:P20,$F21))</f>
        <v>0.38263888888888886</v>
      </c>
      <c r="K21" s="47">
        <f ca="1">IF(ISTEXT($F21),"",MAX($R$19:R20,$F21))</f>
        <v>0.37777777777777777</v>
      </c>
      <c r="L21" s="47">
        <f ca="1">IF(ISTEXT($F21),"",MAX(T19:T20,$F21))</f>
        <v>0.37777777777777777</v>
      </c>
      <c r="M21" s="49">
        <f t="shared" ca="1" si="3"/>
        <v>0.37777777777777777</v>
      </c>
      <c r="N21" s="43">
        <f t="shared" ca="1" si="4"/>
        <v>2</v>
      </c>
      <c r="O21" s="49" t="str">
        <f t="shared" ca="1" si="5"/>
        <v/>
      </c>
      <c r="P21" s="46">
        <f t="shared" ca="1" si="6"/>
        <v>0.38263888888888886</v>
      </c>
      <c r="Q21" s="49">
        <f t="shared" ca="1" si="7"/>
        <v>0.37777777777777777</v>
      </c>
      <c r="R21" s="47">
        <f t="shared" ca="1" si="8"/>
        <v>0.38472222222222219</v>
      </c>
      <c r="S21" s="49" t="str">
        <f t="shared" ca="1" si="9"/>
        <v/>
      </c>
      <c r="T21" s="46">
        <f t="shared" ca="1" si="10"/>
        <v>0.375</v>
      </c>
      <c r="U21" s="49" t="str">
        <f ca="1">IF(H21="ушел",I21-F21,"")</f>
        <v/>
      </c>
      <c r="V21" s="49">
        <f ca="1">IF(H21="ушел","",F21+G21)</f>
        <v>0.37777777777777777</v>
      </c>
      <c r="W21" s="49">
        <f ca="1">Y21-F21</f>
        <v>6.9444444444444198E-3</v>
      </c>
      <c r="X21" s="49">
        <f ca="1">IF(H21="ушел",W21,$E21+G21)</f>
        <v>6.9444444444444441E-3</v>
      </c>
      <c r="Y21" s="49">
        <f t="shared" ca="1" si="11"/>
        <v>0.38472222222222219</v>
      </c>
      <c r="Z21" s="44">
        <f ca="1">COUNTIF($M$19:$M20,"&gt;"&amp;$F21)</f>
        <v>0</v>
      </c>
      <c r="AA21" s="33"/>
      <c r="AB21" s="1"/>
    </row>
    <row r="22" spans="1:28" x14ac:dyDescent="0.3">
      <c r="A22" s="1">
        <f t="shared" ref="A22:A69" ca="1" si="14">IF(ISTEXT(F22),"закрыто",A21+1)</f>
        <v>3</v>
      </c>
      <c r="B22" s="44">
        <f t="shared" ref="B22:B69" ca="1" si="15">RANDBETWEEN(1,3)</f>
        <v>1</v>
      </c>
      <c r="C22" s="43">
        <f t="shared" ref="C22:C69" ca="1" si="16">B22/(60*24)</f>
        <v>6.9444444444444447E-4</v>
      </c>
      <c r="D22" s="43">
        <f t="shared" ca="1" si="12"/>
        <v>10</v>
      </c>
      <c r="E22" s="44">
        <f t="shared" ref="E22:E69" ca="1" si="17">D22/1440</f>
        <v>6.9444444444444441E-3</v>
      </c>
      <c r="F22" s="47">
        <f t="shared" ca="1" si="13"/>
        <v>0.37847222222222221</v>
      </c>
      <c r="G22" s="47">
        <f t="shared" ca="1" si="0"/>
        <v>0</v>
      </c>
      <c r="H22" s="48" t="str">
        <f t="shared" ca="1" si="1"/>
        <v/>
      </c>
      <c r="I22" s="49" t="str">
        <f t="shared" ca="1" si="2"/>
        <v/>
      </c>
      <c r="J22" s="47">
        <f ca="1">IF(ISTEXT($F22),"",MAX($P$19:P21,$F22))</f>
        <v>0.38263888888888886</v>
      </c>
      <c r="K22" s="47">
        <f ca="1">IF(ISTEXT($F22),"",MAX($R$19:R21,$F22))</f>
        <v>0.38472222222222219</v>
      </c>
      <c r="L22" s="47">
        <f t="shared" ref="L22:L69" ca="1" si="18">IF(ISTEXT($F22),"",MAX(T20:T21,$F22))</f>
        <v>0.37847222222222221</v>
      </c>
      <c r="M22" s="49">
        <f t="shared" ca="1" si="3"/>
        <v>0.37847222222222221</v>
      </c>
      <c r="N22" s="43">
        <f t="shared" ca="1" si="4"/>
        <v>3</v>
      </c>
      <c r="O22" s="49" t="str">
        <f t="shared" ca="1" si="5"/>
        <v/>
      </c>
      <c r="P22" s="46">
        <f t="shared" ca="1" si="6"/>
        <v>0.38263888888888886</v>
      </c>
      <c r="Q22" s="49" t="str">
        <f t="shared" ca="1" si="7"/>
        <v/>
      </c>
      <c r="R22" s="47">
        <f t="shared" ca="1" si="8"/>
        <v>0.38472222222222219</v>
      </c>
      <c r="S22" s="49">
        <f t="shared" ca="1" si="9"/>
        <v>0.37847222222222221</v>
      </c>
      <c r="T22" s="46">
        <f t="shared" ca="1" si="10"/>
        <v>0.38541666666666663</v>
      </c>
      <c r="U22" s="49" t="str">
        <f t="shared" ref="U22:U69" ca="1" si="19">IF(H22="ушел",I22-F22,"")</f>
        <v/>
      </c>
      <c r="V22" s="49">
        <f t="shared" ref="V22:V69" ca="1" si="20">IF(H22="ушел","",F22+G22)</f>
        <v>0.37847222222222221</v>
      </c>
      <c r="W22" s="49">
        <f t="shared" ref="W22:W69" ca="1" si="21">Y22-F22</f>
        <v>6.9444444444444198E-3</v>
      </c>
      <c r="X22" s="49">
        <f t="shared" ref="X22:X69" ca="1" si="22">IF(H22="ушел",W22,$E22+G22)</f>
        <v>6.9444444444444441E-3</v>
      </c>
      <c r="Y22" s="49">
        <f t="shared" ca="1" si="11"/>
        <v>0.38541666666666663</v>
      </c>
      <c r="Z22" s="44">
        <f ca="1">COUNTIF($M$19:$M21,"&gt;"&amp;$F22)</f>
        <v>0</v>
      </c>
      <c r="AA22" s="33"/>
      <c r="AB22" s="1"/>
    </row>
    <row r="23" spans="1:28" x14ac:dyDescent="0.3">
      <c r="A23" s="1">
        <f t="shared" ca="1" si="14"/>
        <v>4</v>
      </c>
      <c r="B23" s="44">
        <f t="shared" ca="1" si="15"/>
        <v>3</v>
      </c>
      <c r="C23" s="43">
        <f t="shared" ca="1" si="16"/>
        <v>2.0833333333333333E-3</v>
      </c>
      <c r="D23" s="43">
        <f t="shared" ca="1" si="12"/>
        <v>10</v>
      </c>
      <c r="E23" s="44">
        <f t="shared" ca="1" si="17"/>
        <v>6.9444444444444441E-3</v>
      </c>
      <c r="F23" s="47">
        <f t="shared" ca="1" si="13"/>
        <v>0.38055555555555554</v>
      </c>
      <c r="G23" s="47">
        <f t="shared" ca="1" si="0"/>
        <v>2.0833333333333259E-3</v>
      </c>
      <c r="H23" s="48" t="str">
        <f t="shared" ca="1" si="1"/>
        <v/>
      </c>
      <c r="I23" s="49" t="str">
        <f t="shared" ca="1" si="2"/>
        <v/>
      </c>
      <c r="J23" s="47">
        <f ca="1">IF(ISTEXT($F23),"",MAX($P$19:P22,$F23))</f>
        <v>0.38263888888888886</v>
      </c>
      <c r="K23" s="47">
        <f ca="1">IF(ISTEXT($F23),"",MAX($R$19:R22,$F23))</f>
        <v>0.38472222222222219</v>
      </c>
      <c r="L23" s="47">
        <f t="shared" ca="1" si="18"/>
        <v>0.38541666666666663</v>
      </c>
      <c r="M23" s="49">
        <f t="shared" ca="1" si="3"/>
        <v>0.38263888888888886</v>
      </c>
      <c r="N23" s="43">
        <f t="shared" ca="1" si="4"/>
        <v>1</v>
      </c>
      <c r="O23" s="49">
        <f t="shared" ca="1" si="5"/>
        <v>0.38263888888888886</v>
      </c>
      <c r="P23" s="46">
        <f t="shared" ca="1" si="6"/>
        <v>0.38958333333333328</v>
      </c>
      <c r="Q23" s="49" t="str">
        <f t="shared" ca="1" si="7"/>
        <v/>
      </c>
      <c r="R23" s="47">
        <f t="shared" ca="1" si="8"/>
        <v>0.38472222222222219</v>
      </c>
      <c r="S23" s="49" t="str">
        <f t="shared" ca="1" si="9"/>
        <v/>
      </c>
      <c r="T23" s="46">
        <f t="shared" ca="1" si="10"/>
        <v>0.38541666666666663</v>
      </c>
      <c r="U23" s="49" t="str">
        <f t="shared" ca="1" si="19"/>
        <v/>
      </c>
      <c r="V23" s="49">
        <f t="shared" ca="1" si="20"/>
        <v>0.38263888888888886</v>
      </c>
      <c r="W23" s="49">
        <f t="shared" ca="1" si="21"/>
        <v>9.0277777777777457E-3</v>
      </c>
      <c r="X23" s="49">
        <f t="shared" ca="1" si="22"/>
        <v>9.02777777777777E-3</v>
      </c>
      <c r="Y23" s="49">
        <f t="shared" ca="1" si="11"/>
        <v>0.38958333333333328</v>
      </c>
      <c r="Z23" s="44">
        <f ca="1">COUNTIF($M$19:$M22,"&gt;"&amp;$F23)</f>
        <v>0</v>
      </c>
      <c r="AA23" s="33"/>
      <c r="AB23" s="1"/>
    </row>
    <row r="24" spans="1:28" x14ac:dyDescent="0.3">
      <c r="A24" s="1">
        <f t="shared" ca="1" si="14"/>
        <v>5</v>
      </c>
      <c r="B24" s="44">
        <f t="shared" ca="1" si="15"/>
        <v>1</v>
      </c>
      <c r="C24" s="43">
        <f t="shared" ca="1" si="16"/>
        <v>6.9444444444444447E-4</v>
      </c>
      <c r="D24" s="43">
        <f t="shared" ca="1" si="12"/>
        <v>5</v>
      </c>
      <c r="E24" s="44">
        <f t="shared" ca="1" si="17"/>
        <v>3.472222222222222E-3</v>
      </c>
      <c r="F24" s="47">
        <f t="shared" ca="1" si="13"/>
        <v>0.38124999999999998</v>
      </c>
      <c r="G24" s="47">
        <f t="shared" ca="1" si="0"/>
        <v>3.4722222222222099E-3</v>
      </c>
      <c r="H24" s="48" t="str">
        <f t="shared" ca="1" si="1"/>
        <v>ушел</v>
      </c>
      <c r="I24" s="49">
        <f t="shared" ca="1" si="2"/>
        <v>0.3833333333333333</v>
      </c>
      <c r="J24" s="47">
        <f ca="1">IF(ISTEXT($F24),"",MAX($P$19:P23,$F24))</f>
        <v>0.38958333333333328</v>
      </c>
      <c r="K24" s="47">
        <f ca="1">IF(ISTEXT($F24),"",MAX($R$19:R23,$F24))</f>
        <v>0.38472222222222219</v>
      </c>
      <c r="L24" s="47">
        <f t="shared" ca="1" si="18"/>
        <v>0.38541666666666663</v>
      </c>
      <c r="M24" s="49">
        <f t="shared" ca="1" si="3"/>
        <v>0.38472222222222219</v>
      </c>
      <c r="N24" s="43" t="str">
        <f t="shared" ca="1" si="4"/>
        <v/>
      </c>
      <c r="O24" s="49" t="str">
        <f t="shared" ca="1" si="5"/>
        <v/>
      </c>
      <c r="P24" s="46">
        <f t="shared" ca="1" si="6"/>
        <v>0.38958333333333328</v>
      </c>
      <c r="Q24" s="49" t="str">
        <f t="shared" ca="1" si="7"/>
        <v/>
      </c>
      <c r="R24" s="47">
        <f t="shared" ca="1" si="8"/>
        <v>0.38472222222222219</v>
      </c>
      <c r="S24" s="49" t="str">
        <f t="shared" ca="1" si="9"/>
        <v/>
      </c>
      <c r="T24" s="46">
        <f t="shared" ca="1" si="10"/>
        <v>0.38541666666666663</v>
      </c>
      <c r="U24" s="49">
        <f t="shared" ca="1" si="19"/>
        <v>2.0833333333333259E-3</v>
      </c>
      <c r="V24" s="49" t="str">
        <f t="shared" ca="1" si="20"/>
        <v/>
      </c>
      <c r="W24" s="49">
        <f t="shared" ca="1" si="21"/>
        <v>2.0833333333333259E-3</v>
      </c>
      <c r="X24" s="49">
        <f t="shared" ca="1" si="22"/>
        <v>2.0833333333333259E-3</v>
      </c>
      <c r="Y24" s="49">
        <f t="shared" ca="1" si="11"/>
        <v>0.3833333333333333</v>
      </c>
      <c r="Z24" s="44">
        <f ca="1">COUNTIF($M$19:$M23,"&gt;"&amp;$F24)</f>
        <v>1</v>
      </c>
      <c r="AA24" s="33"/>
      <c r="AB24" s="1"/>
    </row>
    <row r="25" spans="1:28" x14ac:dyDescent="0.3">
      <c r="A25" s="1">
        <f t="shared" ca="1" si="14"/>
        <v>6</v>
      </c>
      <c r="B25" s="44">
        <f t="shared" ca="1" si="15"/>
        <v>1</v>
      </c>
      <c r="C25" s="43">
        <f t="shared" ca="1" si="16"/>
        <v>6.9444444444444447E-4</v>
      </c>
      <c r="D25" s="43">
        <f t="shared" ca="1" si="12"/>
        <v>10</v>
      </c>
      <c r="E25" s="44">
        <f t="shared" ca="1" si="17"/>
        <v>6.9444444444444441E-3</v>
      </c>
      <c r="F25" s="47">
        <f t="shared" ca="1" si="13"/>
        <v>0.38194444444444442</v>
      </c>
      <c r="G25" s="47">
        <f t="shared" ca="1" si="0"/>
        <v>2.7777777777777679E-3</v>
      </c>
      <c r="H25" s="48" t="str">
        <f t="shared" ca="1" si="1"/>
        <v>ушел</v>
      </c>
      <c r="I25" s="49">
        <f t="shared" ca="1" si="2"/>
        <v>0.38402777777777775</v>
      </c>
      <c r="J25" s="47">
        <f ca="1">IF(ISTEXT($F25),"",MAX($P$19:P24,$F25))</f>
        <v>0.38958333333333328</v>
      </c>
      <c r="K25" s="47">
        <f ca="1">IF(ISTEXT($F25),"",MAX($R$19:R24,$F25))</f>
        <v>0.38472222222222219</v>
      </c>
      <c r="L25" s="47">
        <f t="shared" ca="1" si="18"/>
        <v>0.38541666666666663</v>
      </c>
      <c r="M25" s="49">
        <f t="shared" ca="1" si="3"/>
        <v>0.38472222222222219</v>
      </c>
      <c r="N25" s="43" t="str">
        <f t="shared" ca="1" si="4"/>
        <v/>
      </c>
      <c r="O25" s="49" t="str">
        <f t="shared" ca="1" si="5"/>
        <v/>
      </c>
      <c r="P25" s="46">
        <f t="shared" ca="1" si="6"/>
        <v>0.38958333333333328</v>
      </c>
      <c r="Q25" s="49" t="str">
        <f t="shared" ca="1" si="7"/>
        <v/>
      </c>
      <c r="R25" s="47">
        <f t="shared" ca="1" si="8"/>
        <v>0.38472222222222219</v>
      </c>
      <c r="S25" s="49" t="str">
        <f t="shared" ca="1" si="9"/>
        <v/>
      </c>
      <c r="T25" s="46">
        <f t="shared" ca="1" si="10"/>
        <v>0.38541666666666663</v>
      </c>
      <c r="U25" s="49">
        <f t="shared" ca="1" si="19"/>
        <v>2.0833333333333259E-3</v>
      </c>
      <c r="V25" s="49" t="str">
        <f t="shared" ca="1" si="20"/>
        <v/>
      </c>
      <c r="W25" s="49">
        <f t="shared" ca="1" si="21"/>
        <v>2.0833333333333259E-3</v>
      </c>
      <c r="X25" s="49">
        <f t="shared" ca="1" si="22"/>
        <v>2.0833333333333259E-3</v>
      </c>
      <c r="Y25" s="49">
        <f t="shared" ca="1" si="11"/>
        <v>0.38402777777777775</v>
      </c>
      <c r="Z25" s="44">
        <f ca="1">COUNTIF($M$19:$M24,"&gt;"&amp;$F25)</f>
        <v>2</v>
      </c>
      <c r="AA25" s="33"/>
      <c r="AB25" s="1"/>
    </row>
    <row r="26" spans="1:28" x14ac:dyDescent="0.3">
      <c r="A26" s="1">
        <f t="shared" ca="1" si="14"/>
        <v>7</v>
      </c>
      <c r="B26" s="44">
        <f t="shared" ca="1" si="15"/>
        <v>2</v>
      </c>
      <c r="C26" s="43">
        <f t="shared" ca="1" si="16"/>
        <v>1.3888888888888889E-3</v>
      </c>
      <c r="D26" s="43">
        <f t="shared" ca="1" si="12"/>
        <v>10</v>
      </c>
      <c r="E26" s="44">
        <f t="shared" ca="1" si="17"/>
        <v>6.9444444444444441E-3</v>
      </c>
      <c r="F26" s="47">
        <f t="shared" ca="1" si="13"/>
        <v>0.3833333333333333</v>
      </c>
      <c r="G26" s="47">
        <f t="shared" ca="1" si="0"/>
        <v>1.388888888888884E-3</v>
      </c>
      <c r="H26" s="48" t="str">
        <f t="shared" ca="1" si="1"/>
        <v/>
      </c>
      <c r="I26" s="49" t="str">
        <f t="shared" ca="1" si="2"/>
        <v/>
      </c>
      <c r="J26" s="47">
        <f ca="1">IF(ISTEXT($F26),"",MAX($P$19:P25,$F26))</f>
        <v>0.38958333333333328</v>
      </c>
      <c r="K26" s="47">
        <f ca="1">IF(ISTEXT($F26),"",MAX($R$19:R25,$F26))</f>
        <v>0.38472222222222219</v>
      </c>
      <c r="L26" s="47">
        <f t="shared" ca="1" si="18"/>
        <v>0.38541666666666663</v>
      </c>
      <c r="M26" s="49">
        <f t="shared" ca="1" si="3"/>
        <v>0.38472222222222219</v>
      </c>
      <c r="N26" s="43">
        <f t="shared" ca="1" si="4"/>
        <v>2</v>
      </c>
      <c r="O26" s="49" t="str">
        <f t="shared" ca="1" si="5"/>
        <v/>
      </c>
      <c r="P26" s="46">
        <f t="shared" ca="1" si="6"/>
        <v>0.38958333333333328</v>
      </c>
      <c r="Q26" s="49">
        <f t="shared" ca="1" si="7"/>
        <v>0.38472222222222219</v>
      </c>
      <c r="R26" s="47">
        <f t="shared" ca="1" si="8"/>
        <v>0.39166666666666661</v>
      </c>
      <c r="S26" s="49" t="str">
        <f t="shared" ca="1" si="9"/>
        <v/>
      </c>
      <c r="T26" s="46">
        <f t="shared" ca="1" si="10"/>
        <v>0.38541666666666663</v>
      </c>
      <c r="U26" s="49" t="str">
        <f t="shared" ca="1" si="19"/>
        <v/>
      </c>
      <c r="V26" s="49">
        <f t="shared" ca="1" si="20"/>
        <v>0.38472222222222219</v>
      </c>
      <c r="W26" s="49">
        <f t="shared" ca="1" si="21"/>
        <v>8.3333333333333037E-3</v>
      </c>
      <c r="X26" s="49">
        <f t="shared" ca="1" si="22"/>
        <v>8.333333333333328E-3</v>
      </c>
      <c r="Y26" s="49">
        <f t="shared" ca="1" si="11"/>
        <v>0.39166666666666661</v>
      </c>
      <c r="Z26" s="44">
        <f ca="1">COUNTIF($M$19:$M25,"&gt;"&amp;$F26)</f>
        <v>2</v>
      </c>
      <c r="AA26" s="33"/>
      <c r="AB26" s="1"/>
    </row>
    <row r="27" spans="1:28" x14ac:dyDescent="0.3">
      <c r="A27" s="1">
        <f t="shared" ca="1" si="14"/>
        <v>8</v>
      </c>
      <c r="B27" s="44">
        <f t="shared" ca="1" si="15"/>
        <v>2</v>
      </c>
      <c r="C27" s="43">
        <f t="shared" ca="1" si="16"/>
        <v>1.3888888888888889E-3</v>
      </c>
      <c r="D27" s="43">
        <f t="shared" ca="1" si="12"/>
        <v>10</v>
      </c>
      <c r="E27" s="44">
        <f t="shared" ca="1" si="17"/>
        <v>6.9444444444444441E-3</v>
      </c>
      <c r="F27" s="47">
        <f t="shared" ca="1" si="13"/>
        <v>0.38472222222222219</v>
      </c>
      <c r="G27" s="47">
        <f t="shared" ca="1" si="0"/>
        <v>6.9444444444444198E-4</v>
      </c>
      <c r="H27" s="48" t="str">
        <f t="shared" ca="1" si="1"/>
        <v/>
      </c>
      <c r="I27" s="49" t="str">
        <f t="shared" ca="1" si="2"/>
        <v/>
      </c>
      <c r="J27" s="47">
        <f ca="1">IF(ISTEXT($F27),"",MAX($P$19:P26,$F27))</f>
        <v>0.38958333333333328</v>
      </c>
      <c r="K27" s="47">
        <f ca="1">IF(ISTEXT($F27),"",MAX($R$19:R26,$F27))</f>
        <v>0.39166666666666661</v>
      </c>
      <c r="L27" s="47">
        <f t="shared" ca="1" si="18"/>
        <v>0.38541666666666663</v>
      </c>
      <c r="M27" s="49">
        <f t="shared" ca="1" si="3"/>
        <v>0.38541666666666663</v>
      </c>
      <c r="N27" s="43">
        <f t="shared" ca="1" si="4"/>
        <v>3</v>
      </c>
      <c r="O27" s="49" t="str">
        <f t="shared" ca="1" si="5"/>
        <v/>
      </c>
      <c r="P27" s="46">
        <f t="shared" ca="1" si="6"/>
        <v>0.38958333333333328</v>
      </c>
      <c r="Q27" s="49" t="str">
        <f t="shared" ca="1" si="7"/>
        <v/>
      </c>
      <c r="R27" s="47">
        <f t="shared" ca="1" si="8"/>
        <v>0.39166666666666661</v>
      </c>
      <c r="S27" s="49">
        <f t="shared" ca="1" si="9"/>
        <v>0.38541666666666663</v>
      </c>
      <c r="T27" s="46">
        <f t="shared" ca="1" si="10"/>
        <v>0.39236111111111105</v>
      </c>
      <c r="U27" s="49" t="str">
        <f t="shared" ca="1" si="19"/>
        <v/>
      </c>
      <c r="V27" s="49">
        <f t="shared" ca="1" si="20"/>
        <v>0.38541666666666663</v>
      </c>
      <c r="W27" s="49">
        <f t="shared" ca="1" si="21"/>
        <v>7.6388888888888618E-3</v>
      </c>
      <c r="X27" s="49">
        <f t="shared" ca="1" si="22"/>
        <v>7.638888888888886E-3</v>
      </c>
      <c r="Y27" s="49">
        <f t="shared" ca="1" si="11"/>
        <v>0.39236111111111105</v>
      </c>
      <c r="Z27" s="44">
        <f ca="1">COUNTIF($M$19:$M26,"&gt;"&amp;$F27)</f>
        <v>0</v>
      </c>
      <c r="AA27" s="33"/>
      <c r="AB27" s="1"/>
    </row>
    <row r="28" spans="1:28" x14ac:dyDescent="0.3">
      <c r="A28" s="1">
        <f t="shared" ca="1" si="14"/>
        <v>9</v>
      </c>
      <c r="B28" s="44">
        <f t="shared" ca="1" si="15"/>
        <v>1</v>
      </c>
      <c r="C28" s="43">
        <f t="shared" ca="1" si="16"/>
        <v>6.9444444444444447E-4</v>
      </c>
      <c r="D28" s="43">
        <f t="shared" ca="1" si="12"/>
        <v>5</v>
      </c>
      <c r="E28" s="44">
        <f t="shared" ca="1" si="17"/>
        <v>3.472222222222222E-3</v>
      </c>
      <c r="F28" s="47">
        <f t="shared" ca="1" si="13"/>
        <v>0.38541666666666663</v>
      </c>
      <c r="G28" s="47">
        <f t="shared" ca="1" si="0"/>
        <v>4.1666666666666519E-3</v>
      </c>
      <c r="H28" s="48" t="str">
        <f t="shared" ca="1" si="1"/>
        <v>ушел</v>
      </c>
      <c r="I28" s="49">
        <f t="shared" ca="1" si="2"/>
        <v>0.38749999999999996</v>
      </c>
      <c r="J28" s="47">
        <f ca="1">IF(ISTEXT($F28),"",MAX($P$19:P27,$F28))</f>
        <v>0.38958333333333328</v>
      </c>
      <c r="K28" s="47">
        <f ca="1">IF(ISTEXT($F28),"",MAX($R$19:R27,$F28))</f>
        <v>0.39166666666666661</v>
      </c>
      <c r="L28" s="47">
        <f t="shared" ca="1" si="18"/>
        <v>0.39236111111111105</v>
      </c>
      <c r="M28" s="49">
        <f t="shared" ca="1" si="3"/>
        <v>0.38958333333333328</v>
      </c>
      <c r="N28" s="43" t="str">
        <f t="shared" ca="1" si="4"/>
        <v/>
      </c>
      <c r="O28" s="49" t="str">
        <f t="shared" ca="1" si="5"/>
        <v/>
      </c>
      <c r="P28" s="46">
        <f t="shared" ca="1" si="6"/>
        <v>0.38958333333333328</v>
      </c>
      <c r="Q28" s="49" t="str">
        <f t="shared" ca="1" si="7"/>
        <v/>
      </c>
      <c r="R28" s="47">
        <f t="shared" ca="1" si="8"/>
        <v>0.39166666666666661</v>
      </c>
      <c r="S28" s="49" t="str">
        <f t="shared" ca="1" si="9"/>
        <v/>
      </c>
      <c r="T28" s="46">
        <f t="shared" ca="1" si="10"/>
        <v>0.39236111111111105</v>
      </c>
      <c r="U28" s="49">
        <f t="shared" ca="1" si="19"/>
        <v>2.0833333333333259E-3</v>
      </c>
      <c r="V28" s="49" t="str">
        <f t="shared" ca="1" si="20"/>
        <v/>
      </c>
      <c r="W28" s="49">
        <f t="shared" ca="1" si="21"/>
        <v>2.0833333333333259E-3</v>
      </c>
      <c r="X28" s="49">
        <f t="shared" ca="1" si="22"/>
        <v>2.0833333333333259E-3</v>
      </c>
      <c r="Y28" s="49">
        <f t="shared" ca="1" si="11"/>
        <v>0.38749999999999996</v>
      </c>
      <c r="Z28" s="44">
        <f ca="1">COUNTIF($M$19:$M27,"&gt;"&amp;$F28)</f>
        <v>0</v>
      </c>
      <c r="AA28" s="33"/>
      <c r="AB28" s="1"/>
    </row>
    <row r="29" spans="1:28" x14ac:dyDescent="0.3">
      <c r="A29" s="1">
        <f t="shared" ca="1" si="14"/>
        <v>10</v>
      </c>
      <c r="B29" s="44">
        <f t="shared" ca="1" si="15"/>
        <v>2</v>
      </c>
      <c r="C29" s="43">
        <f t="shared" ca="1" si="16"/>
        <v>1.3888888888888889E-3</v>
      </c>
      <c r="D29" s="43">
        <f t="shared" ca="1" si="12"/>
        <v>5</v>
      </c>
      <c r="E29" s="44">
        <f t="shared" ca="1" si="17"/>
        <v>3.472222222222222E-3</v>
      </c>
      <c r="F29" s="47">
        <f t="shared" ca="1" si="13"/>
        <v>0.38680555555555551</v>
      </c>
      <c r="G29" s="47">
        <f t="shared" ca="1" si="0"/>
        <v>2.7777777777777679E-3</v>
      </c>
      <c r="H29" s="48" t="str">
        <f t="shared" ca="1" si="1"/>
        <v>ушел</v>
      </c>
      <c r="I29" s="49">
        <f t="shared" ca="1" si="2"/>
        <v>0.38888888888888884</v>
      </c>
      <c r="J29" s="47">
        <f ca="1">IF(ISTEXT($F29),"",MAX($P$19:P28,$F29))</f>
        <v>0.38958333333333328</v>
      </c>
      <c r="K29" s="47">
        <f ca="1">IF(ISTEXT($F29),"",MAX($R$19:R28,$F29))</f>
        <v>0.39166666666666661</v>
      </c>
      <c r="L29" s="47">
        <f t="shared" ca="1" si="18"/>
        <v>0.39236111111111105</v>
      </c>
      <c r="M29" s="49">
        <f t="shared" ca="1" si="3"/>
        <v>0.38958333333333328</v>
      </c>
      <c r="N29" s="43" t="str">
        <f t="shared" ca="1" si="4"/>
        <v/>
      </c>
      <c r="O29" s="49" t="str">
        <f t="shared" ca="1" si="5"/>
        <v/>
      </c>
      <c r="P29" s="46">
        <f t="shared" ca="1" si="6"/>
        <v>0.38958333333333328</v>
      </c>
      <c r="Q29" s="49" t="str">
        <f t="shared" ca="1" si="7"/>
        <v/>
      </c>
      <c r="R29" s="47">
        <f t="shared" ca="1" si="8"/>
        <v>0.39166666666666661</v>
      </c>
      <c r="S29" s="49" t="str">
        <f t="shared" ca="1" si="9"/>
        <v/>
      </c>
      <c r="T29" s="46">
        <f t="shared" ca="1" si="10"/>
        <v>0.39236111111111105</v>
      </c>
      <c r="U29" s="49">
        <f t="shared" ca="1" si="19"/>
        <v>2.0833333333333259E-3</v>
      </c>
      <c r="V29" s="49" t="str">
        <f t="shared" ca="1" si="20"/>
        <v/>
      </c>
      <c r="W29" s="49">
        <f t="shared" ca="1" si="21"/>
        <v>2.0833333333333259E-3</v>
      </c>
      <c r="X29" s="49">
        <f t="shared" ca="1" si="22"/>
        <v>2.0833333333333259E-3</v>
      </c>
      <c r="Y29" s="49">
        <f t="shared" ca="1" si="11"/>
        <v>0.38888888888888884</v>
      </c>
      <c r="Z29" s="44">
        <f ca="1">COUNTIF($M$19:$M28,"&gt;"&amp;$F29)</f>
        <v>1</v>
      </c>
      <c r="AA29" s="33"/>
      <c r="AB29" s="1"/>
    </row>
    <row r="30" spans="1:28" x14ac:dyDescent="0.3">
      <c r="A30" s="1">
        <f t="shared" ca="1" si="14"/>
        <v>11</v>
      </c>
      <c r="B30" s="44">
        <f t="shared" ca="1" si="15"/>
        <v>3</v>
      </c>
      <c r="C30" s="43">
        <f t="shared" ca="1" si="16"/>
        <v>2.0833333333333333E-3</v>
      </c>
      <c r="D30" s="43">
        <f t="shared" ca="1" si="12"/>
        <v>3</v>
      </c>
      <c r="E30" s="44">
        <f t="shared" ca="1" si="17"/>
        <v>2.0833333333333333E-3</v>
      </c>
      <c r="F30" s="47">
        <f t="shared" ca="1" si="13"/>
        <v>0.38888888888888884</v>
      </c>
      <c r="G30" s="47">
        <f t="shared" ca="1" si="0"/>
        <v>6.9444444444444198E-4</v>
      </c>
      <c r="H30" s="48" t="str">
        <f t="shared" ca="1" si="1"/>
        <v/>
      </c>
      <c r="I30" s="49" t="str">
        <f t="shared" ca="1" si="2"/>
        <v/>
      </c>
      <c r="J30" s="47">
        <f ca="1">IF(ISTEXT($F30),"",MAX($P$19:P29,$F30))</f>
        <v>0.38958333333333328</v>
      </c>
      <c r="K30" s="47">
        <f ca="1">IF(ISTEXT($F30),"",MAX($R$19:R29,$F30))</f>
        <v>0.39166666666666661</v>
      </c>
      <c r="L30" s="47">
        <f t="shared" ca="1" si="18"/>
        <v>0.39236111111111105</v>
      </c>
      <c r="M30" s="49">
        <f t="shared" ca="1" si="3"/>
        <v>0.38958333333333328</v>
      </c>
      <c r="N30" s="43">
        <f t="shared" ca="1" si="4"/>
        <v>1</v>
      </c>
      <c r="O30" s="49">
        <f t="shared" ca="1" si="5"/>
        <v>0.38958333333333328</v>
      </c>
      <c r="P30" s="46">
        <f t="shared" ca="1" si="6"/>
        <v>0.39166666666666661</v>
      </c>
      <c r="Q30" s="49" t="str">
        <f t="shared" ca="1" si="7"/>
        <v/>
      </c>
      <c r="R30" s="47">
        <f t="shared" ca="1" si="8"/>
        <v>0.39166666666666661</v>
      </c>
      <c r="S30" s="49" t="str">
        <f t="shared" ca="1" si="9"/>
        <v/>
      </c>
      <c r="T30" s="46">
        <f t="shared" ca="1" si="10"/>
        <v>0.39236111111111105</v>
      </c>
      <c r="U30" s="49" t="str">
        <f t="shared" ca="1" si="19"/>
        <v/>
      </c>
      <c r="V30" s="49">
        <f t="shared" ca="1" si="20"/>
        <v>0.38958333333333328</v>
      </c>
      <c r="W30" s="49">
        <f t="shared" ca="1" si="21"/>
        <v>2.7777777777777679E-3</v>
      </c>
      <c r="X30" s="49">
        <f t="shared" ca="1" si="22"/>
        <v>2.7777777777777753E-3</v>
      </c>
      <c r="Y30" s="49">
        <f t="shared" ca="1" si="11"/>
        <v>0.39166666666666661</v>
      </c>
      <c r="Z30" s="44">
        <f ca="1">COUNTIF($M$19:$M29,"&gt;"&amp;$F30)</f>
        <v>2</v>
      </c>
      <c r="AA30" s="33"/>
      <c r="AB30" s="1"/>
    </row>
    <row r="31" spans="1:28" x14ac:dyDescent="0.3">
      <c r="A31" s="1">
        <f t="shared" ca="1" si="14"/>
        <v>12</v>
      </c>
      <c r="B31" s="44">
        <f t="shared" ca="1" si="15"/>
        <v>1</v>
      </c>
      <c r="C31" s="43">
        <f t="shared" ca="1" si="16"/>
        <v>6.9444444444444447E-4</v>
      </c>
      <c r="D31" s="43">
        <f t="shared" ca="1" si="12"/>
        <v>3</v>
      </c>
      <c r="E31" s="44">
        <f t="shared" ca="1" si="17"/>
        <v>2.0833333333333333E-3</v>
      </c>
      <c r="F31" s="47">
        <f t="shared" ca="1" si="13"/>
        <v>0.38958333333333328</v>
      </c>
      <c r="G31" s="47">
        <f t="shared" ca="1" si="0"/>
        <v>2.0833333333333259E-3</v>
      </c>
      <c r="H31" s="48" t="str">
        <f t="shared" ca="1" si="1"/>
        <v/>
      </c>
      <c r="I31" s="49" t="str">
        <f t="shared" ca="1" si="2"/>
        <v/>
      </c>
      <c r="J31" s="47">
        <f ca="1">IF(ISTEXT($F31),"",MAX($P$19:P30,$F31))</f>
        <v>0.39166666666666661</v>
      </c>
      <c r="K31" s="47">
        <f ca="1">IF(ISTEXT($F31),"",MAX($R$19:R30,$F31))</f>
        <v>0.39166666666666661</v>
      </c>
      <c r="L31" s="47">
        <f t="shared" ca="1" si="18"/>
        <v>0.39236111111111105</v>
      </c>
      <c r="M31" s="49">
        <f t="shared" ca="1" si="3"/>
        <v>0.39166666666666661</v>
      </c>
      <c r="N31" s="43">
        <f t="shared" ca="1" si="4"/>
        <v>1</v>
      </c>
      <c r="O31" s="49">
        <f t="shared" ca="1" si="5"/>
        <v>0.39166666666666661</v>
      </c>
      <c r="P31" s="46">
        <f t="shared" ca="1" si="6"/>
        <v>0.39374999999999993</v>
      </c>
      <c r="Q31" s="49" t="str">
        <f t="shared" ca="1" si="7"/>
        <v/>
      </c>
      <c r="R31" s="47">
        <f t="shared" ca="1" si="8"/>
        <v>0.39166666666666661</v>
      </c>
      <c r="S31" s="49" t="str">
        <f t="shared" ca="1" si="9"/>
        <v/>
      </c>
      <c r="T31" s="46">
        <f t="shared" ca="1" si="10"/>
        <v>0.39236111111111105</v>
      </c>
      <c r="U31" s="49" t="str">
        <f t="shared" ca="1" si="19"/>
        <v/>
      </c>
      <c r="V31" s="49">
        <f t="shared" ca="1" si="20"/>
        <v>0.39166666666666661</v>
      </c>
      <c r="W31" s="49">
        <f t="shared" ca="1" si="21"/>
        <v>4.1666666666666519E-3</v>
      </c>
      <c r="X31" s="49">
        <f t="shared" ca="1" si="22"/>
        <v>4.1666666666666588E-3</v>
      </c>
      <c r="Y31" s="49">
        <f t="shared" ca="1" si="11"/>
        <v>0.39374999999999993</v>
      </c>
      <c r="Z31" s="44">
        <f ca="1">COUNTIF($M$19:$M30,"&gt;"&amp;$F31)</f>
        <v>0</v>
      </c>
      <c r="AA31" s="33"/>
      <c r="AB31" s="1"/>
    </row>
    <row r="32" spans="1:28" x14ac:dyDescent="0.3">
      <c r="A32" s="1">
        <f t="shared" ca="1" si="14"/>
        <v>13</v>
      </c>
      <c r="B32" s="44">
        <f t="shared" ca="1" si="15"/>
        <v>3</v>
      </c>
      <c r="C32" s="43">
        <f t="shared" ca="1" si="16"/>
        <v>2.0833333333333333E-3</v>
      </c>
      <c r="D32" s="43">
        <f t="shared" ca="1" si="12"/>
        <v>10</v>
      </c>
      <c r="E32" s="44">
        <f t="shared" ca="1" si="17"/>
        <v>6.9444444444444441E-3</v>
      </c>
      <c r="F32" s="47">
        <f t="shared" ca="1" si="13"/>
        <v>0.39166666666666661</v>
      </c>
      <c r="G32" s="47">
        <f t="shared" ca="1" si="0"/>
        <v>0</v>
      </c>
      <c r="H32" s="48" t="str">
        <f t="shared" ca="1" si="1"/>
        <v/>
      </c>
      <c r="I32" s="49" t="str">
        <f t="shared" ca="1" si="2"/>
        <v/>
      </c>
      <c r="J32" s="47">
        <f ca="1">IF(ISTEXT($F32),"",MAX($P$19:P31,$F32))</f>
        <v>0.39374999999999993</v>
      </c>
      <c r="K32" s="47">
        <f ca="1">IF(ISTEXT($F32),"",MAX($R$19:R31,$F32))</f>
        <v>0.39166666666666661</v>
      </c>
      <c r="L32" s="47">
        <f t="shared" ca="1" si="18"/>
        <v>0.39236111111111105</v>
      </c>
      <c r="M32" s="49">
        <f t="shared" ca="1" si="3"/>
        <v>0.39166666666666661</v>
      </c>
      <c r="N32" s="43">
        <f t="shared" ca="1" si="4"/>
        <v>2</v>
      </c>
      <c r="O32" s="49" t="str">
        <f t="shared" ca="1" si="5"/>
        <v/>
      </c>
      <c r="P32" s="46">
        <f t="shared" ca="1" si="6"/>
        <v>0.39374999999999993</v>
      </c>
      <c r="Q32" s="49">
        <f t="shared" ca="1" si="7"/>
        <v>0.39166666666666661</v>
      </c>
      <c r="R32" s="47">
        <f t="shared" ca="1" si="8"/>
        <v>0.39861111111111103</v>
      </c>
      <c r="S32" s="49" t="str">
        <f t="shared" ca="1" si="9"/>
        <v/>
      </c>
      <c r="T32" s="46">
        <f t="shared" ca="1" si="10"/>
        <v>0.39236111111111105</v>
      </c>
      <c r="U32" s="49" t="str">
        <f t="shared" ca="1" si="19"/>
        <v/>
      </c>
      <c r="V32" s="49">
        <f t="shared" ca="1" si="20"/>
        <v>0.39166666666666661</v>
      </c>
      <c r="W32" s="49">
        <f t="shared" ca="1" si="21"/>
        <v>6.9444444444444198E-3</v>
      </c>
      <c r="X32" s="49">
        <f t="shared" ca="1" si="22"/>
        <v>6.9444444444444441E-3</v>
      </c>
      <c r="Y32" s="49">
        <f t="shared" ca="1" si="11"/>
        <v>0.39861111111111103</v>
      </c>
      <c r="Z32" s="44">
        <f ca="1">COUNTIF($M$19:$M31,"&gt;"&amp;$F32)</f>
        <v>0</v>
      </c>
      <c r="AA32" s="33"/>
      <c r="AB32" s="1"/>
    </row>
    <row r="33" spans="1:28" x14ac:dyDescent="0.3">
      <c r="A33" s="1">
        <f t="shared" ca="1" si="14"/>
        <v>14</v>
      </c>
      <c r="B33" s="44">
        <f t="shared" ca="1" si="15"/>
        <v>3</v>
      </c>
      <c r="C33" s="43">
        <f t="shared" ca="1" si="16"/>
        <v>2.0833333333333333E-3</v>
      </c>
      <c r="D33" s="43">
        <f t="shared" ca="1" si="12"/>
        <v>1</v>
      </c>
      <c r="E33" s="44">
        <f t="shared" ca="1" si="17"/>
        <v>6.9444444444444447E-4</v>
      </c>
      <c r="F33" s="47">
        <f t="shared" ca="1" si="13"/>
        <v>0.39374999999999993</v>
      </c>
      <c r="G33" s="47">
        <f t="shared" ca="1" si="0"/>
        <v>0</v>
      </c>
      <c r="H33" s="48" t="str">
        <f t="shared" ca="1" si="1"/>
        <v/>
      </c>
      <c r="I33" s="49" t="str">
        <f t="shared" ca="1" si="2"/>
        <v/>
      </c>
      <c r="J33" s="47">
        <f ca="1">IF(ISTEXT($F33),"",MAX($P$19:P32,$F33))</f>
        <v>0.39374999999999993</v>
      </c>
      <c r="K33" s="47">
        <f ca="1">IF(ISTEXT($F33),"",MAX($R$19:R32,$F33))</f>
        <v>0.39861111111111103</v>
      </c>
      <c r="L33" s="47">
        <f t="shared" ca="1" si="18"/>
        <v>0.39374999999999993</v>
      </c>
      <c r="M33" s="49">
        <f t="shared" ca="1" si="3"/>
        <v>0.39374999999999993</v>
      </c>
      <c r="N33" s="43">
        <f t="shared" ca="1" si="4"/>
        <v>1</v>
      </c>
      <c r="O33" s="49">
        <f t="shared" ca="1" si="5"/>
        <v>0.39374999999999993</v>
      </c>
      <c r="P33" s="46">
        <f t="shared" ca="1" si="6"/>
        <v>0.39444444444444438</v>
      </c>
      <c r="Q33" s="49" t="str">
        <f t="shared" ca="1" si="7"/>
        <v/>
      </c>
      <c r="R33" s="47">
        <f t="shared" ca="1" si="8"/>
        <v>0.39861111111111103</v>
      </c>
      <c r="S33" s="49" t="str">
        <f t="shared" ca="1" si="9"/>
        <v/>
      </c>
      <c r="T33" s="46">
        <f t="shared" ca="1" si="10"/>
        <v>0.39236111111111105</v>
      </c>
      <c r="U33" s="49" t="str">
        <f t="shared" ca="1" si="19"/>
        <v/>
      </c>
      <c r="V33" s="49">
        <f t="shared" ca="1" si="20"/>
        <v>0.39374999999999993</v>
      </c>
      <c r="W33" s="49">
        <f t="shared" ca="1" si="21"/>
        <v>6.9444444444444198E-4</v>
      </c>
      <c r="X33" s="49">
        <f t="shared" ca="1" si="22"/>
        <v>6.9444444444444447E-4</v>
      </c>
      <c r="Y33" s="49">
        <f t="shared" ca="1" si="11"/>
        <v>0.39444444444444438</v>
      </c>
      <c r="Z33" s="44">
        <f ca="1">COUNTIF($M$19:$M32,"&gt;"&amp;$F33)</f>
        <v>0</v>
      </c>
      <c r="AA33" s="33"/>
      <c r="AB33" s="1"/>
    </row>
    <row r="34" spans="1:28" x14ac:dyDescent="0.3">
      <c r="A34" s="1">
        <f t="shared" ca="1" si="14"/>
        <v>15</v>
      </c>
      <c r="B34" s="44">
        <f t="shared" ca="1" si="15"/>
        <v>2</v>
      </c>
      <c r="C34" s="43">
        <f t="shared" ca="1" si="16"/>
        <v>1.3888888888888889E-3</v>
      </c>
      <c r="D34" s="43">
        <f t="shared" ca="1" si="12"/>
        <v>1</v>
      </c>
      <c r="E34" s="44">
        <f t="shared" ca="1" si="17"/>
        <v>6.9444444444444447E-4</v>
      </c>
      <c r="F34" s="47">
        <f t="shared" ca="1" si="13"/>
        <v>0.39513888888888882</v>
      </c>
      <c r="G34" s="47">
        <f t="shared" ca="1" si="0"/>
        <v>0</v>
      </c>
      <c r="H34" s="48" t="str">
        <f t="shared" ca="1" si="1"/>
        <v/>
      </c>
      <c r="I34" s="49" t="str">
        <f t="shared" ca="1" si="2"/>
        <v/>
      </c>
      <c r="J34" s="47">
        <f ca="1">IF(ISTEXT($F34),"",MAX($P$19:P33,$F34))</f>
        <v>0.39513888888888882</v>
      </c>
      <c r="K34" s="47">
        <f ca="1">IF(ISTEXT($F34),"",MAX($R$19:R33,$F34))</f>
        <v>0.39861111111111103</v>
      </c>
      <c r="L34" s="47">
        <f t="shared" ca="1" si="18"/>
        <v>0.39513888888888882</v>
      </c>
      <c r="M34" s="49">
        <f t="shared" ca="1" si="3"/>
        <v>0.39513888888888882</v>
      </c>
      <c r="N34" s="43">
        <f t="shared" ca="1" si="4"/>
        <v>1</v>
      </c>
      <c r="O34" s="49">
        <f t="shared" ca="1" si="5"/>
        <v>0.39513888888888882</v>
      </c>
      <c r="P34" s="46">
        <f t="shared" ca="1" si="6"/>
        <v>0.39583333333333326</v>
      </c>
      <c r="Q34" s="49" t="str">
        <f t="shared" ca="1" si="7"/>
        <v/>
      </c>
      <c r="R34" s="47">
        <f t="shared" ca="1" si="8"/>
        <v>0.39861111111111103</v>
      </c>
      <c r="S34" s="49" t="str">
        <f t="shared" ca="1" si="9"/>
        <v/>
      </c>
      <c r="T34" s="46">
        <f t="shared" ca="1" si="10"/>
        <v>0.39236111111111105</v>
      </c>
      <c r="U34" s="49" t="str">
        <f t="shared" ca="1" si="19"/>
        <v/>
      </c>
      <c r="V34" s="49">
        <f t="shared" ca="1" si="20"/>
        <v>0.39513888888888882</v>
      </c>
      <c r="W34" s="49">
        <f t="shared" ca="1" si="21"/>
        <v>6.9444444444444198E-4</v>
      </c>
      <c r="X34" s="49">
        <f t="shared" ca="1" si="22"/>
        <v>6.9444444444444447E-4</v>
      </c>
      <c r="Y34" s="49">
        <f t="shared" ca="1" si="11"/>
        <v>0.39583333333333326</v>
      </c>
      <c r="Z34" s="44">
        <f ca="1">COUNTIF($M$19:$M33,"&gt;"&amp;$F34)</f>
        <v>0</v>
      </c>
      <c r="AA34" s="33"/>
      <c r="AB34" s="1"/>
    </row>
    <row r="35" spans="1:28" x14ac:dyDescent="0.3">
      <c r="A35" s="1">
        <f t="shared" ca="1" si="14"/>
        <v>16</v>
      </c>
      <c r="B35" s="44">
        <f t="shared" ca="1" si="15"/>
        <v>2</v>
      </c>
      <c r="C35" s="43">
        <f t="shared" ca="1" si="16"/>
        <v>1.3888888888888889E-3</v>
      </c>
      <c r="D35" s="43">
        <f t="shared" ca="1" si="12"/>
        <v>5</v>
      </c>
      <c r="E35" s="44">
        <f t="shared" ca="1" si="17"/>
        <v>3.472222222222222E-3</v>
      </c>
      <c r="F35" s="47">
        <f t="shared" ca="1" si="13"/>
        <v>0.3965277777777777</v>
      </c>
      <c r="G35" s="47">
        <f t="shared" ca="1" si="0"/>
        <v>0</v>
      </c>
      <c r="H35" s="48" t="str">
        <f t="shared" ca="1" si="1"/>
        <v/>
      </c>
      <c r="I35" s="49" t="str">
        <f t="shared" ca="1" si="2"/>
        <v/>
      </c>
      <c r="J35" s="47">
        <f ca="1">IF(ISTEXT($F35),"",MAX($P$19:P34,$F35))</f>
        <v>0.3965277777777777</v>
      </c>
      <c r="K35" s="47">
        <f ca="1">IF(ISTEXT($F35),"",MAX($R$19:R34,$F35))</f>
        <v>0.39861111111111103</v>
      </c>
      <c r="L35" s="47">
        <f t="shared" ca="1" si="18"/>
        <v>0.3965277777777777</v>
      </c>
      <c r="M35" s="49">
        <f t="shared" ca="1" si="3"/>
        <v>0.3965277777777777</v>
      </c>
      <c r="N35" s="43">
        <f t="shared" ca="1" si="4"/>
        <v>1</v>
      </c>
      <c r="O35" s="49">
        <f t="shared" ca="1" si="5"/>
        <v>0.3965277777777777</v>
      </c>
      <c r="P35" s="46">
        <f t="shared" ca="1" si="6"/>
        <v>0.39999999999999991</v>
      </c>
      <c r="Q35" s="49" t="str">
        <f t="shared" ca="1" si="7"/>
        <v/>
      </c>
      <c r="R35" s="47">
        <f t="shared" ca="1" si="8"/>
        <v>0.39861111111111103</v>
      </c>
      <c r="S35" s="49" t="str">
        <f t="shared" ca="1" si="9"/>
        <v/>
      </c>
      <c r="T35" s="46">
        <f t="shared" ca="1" si="10"/>
        <v>0.39236111111111105</v>
      </c>
      <c r="U35" s="49" t="str">
        <f t="shared" ca="1" si="19"/>
        <v/>
      </c>
      <c r="V35" s="49">
        <f t="shared" ca="1" si="20"/>
        <v>0.3965277777777777</v>
      </c>
      <c r="W35" s="49">
        <f t="shared" ca="1" si="21"/>
        <v>3.4722222222222099E-3</v>
      </c>
      <c r="X35" s="49">
        <f t="shared" ca="1" si="22"/>
        <v>3.472222222222222E-3</v>
      </c>
      <c r="Y35" s="49">
        <f t="shared" ca="1" si="11"/>
        <v>0.39999999999999991</v>
      </c>
      <c r="Z35" s="44">
        <f ca="1">COUNTIF($M$19:$M34,"&gt;"&amp;$F35)</f>
        <v>0</v>
      </c>
      <c r="AA35" s="33"/>
      <c r="AB35" s="1"/>
    </row>
    <row r="36" spans="1:28" x14ac:dyDescent="0.3">
      <c r="A36" s="1">
        <f t="shared" ca="1" si="14"/>
        <v>17</v>
      </c>
      <c r="B36" s="44">
        <f t="shared" ca="1" si="15"/>
        <v>3</v>
      </c>
      <c r="C36" s="43">
        <f t="shared" ca="1" si="16"/>
        <v>2.0833333333333333E-3</v>
      </c>
      <c r="D36" s="43">
        <f t="shared" ca="1" si="12"/>
        <v>1</v>
      </c>
      <c r="E36" s="44">
        <f t="shared" ca="1" si="17"/>
        <v>6.9444444444444447E-4</v>
      </c>
      <c r="F36" s="47">
        <f t="shared" ca="1" si="13"/>
        <v>0.39861111111111103</v>
      </c>
      <c r="G36" s="47">
        <f t="shared" ca="1" si="0"/>
        <v>0</v>
      </c>
      <c r="H36" s="48" t="str">
        <f t="shared" ca="1" si="1"/>
        <v/>
      </c>
      <c r="I36" s="49" t="str">
        <f t="shared" ca="1" si="2"/>
        <v/>
      </c>
      <c r="J36" s="47">
        <f ca="1">IF(ISTEXT($F36),"",MAX($P$19:P35,$F36))</f>
        <v>0.39999999999999991</v>
      </c>
      <c r="K36" s="47">
        <f ca="1">IF(ISTEXT($F36),"",MAX($R$19:R35,$F36))</f>
        <v>0.39861111111111103</v>
      </c>
      <c r="L36" s="47">
        <f t="shared" ca="1" si="18"/>
        <v>0.39861111111111103</v>
      </c>
      <c r="M36" s="49">
        <f t="shared" ca="1" si="3"/>
        <v>0.39861111111111103</v>
      </c>
      <c r="N36" s="43">
        <f t="shared" ca="1" si="4"/>
        <v>2</v>
      </c>
      <c r="O36" s="49" t="str">
        <f t="shared" ca="1" si="5"/>
        <v/>
      </c>
      <c r="P36" s="46">
        <f t="shared" ca="1" si="6"/>
        <v>0.39999999999999991</v>
      </c>
      <c r="Q36" s="49">
        <f t="shared" ca="1" si="7"/>
        <v>0.39861111111111103</v>
      </c>
      <c r="R36" s="47">
        <f t="shared" ca="1" si="8"/>
        <v>0.39930555555555547</v>
      </c>
      <c r="S36" s="49" t="str">
        <f t="shared" ca="1" si="9"/>
        <v/>
      </c>
      <c r="T36" s="46">
        <f t="shared" ca="1" si="10"/>
        <v>0.39236111111111105</v>
      </c>
      <c r="U36" s="49" t="str">
        <f t="shared" ca="1" si="19"/>
        <v/>
      </c>
      <c r="V36" s="49">
        <f t="shared" ca="1" si="20"/>
        <v>0.39861111111111103</v>
      </c>
      <c r="W36" s="49">
        <f t="shared" ca="1" si="21"/>
        <v>6.9444444444444198E-4</v>
      </c>
      <c r="X36" s="49">
        <f t="shared" ca="1" si="22"/>
        <v>6.9444444444444447E-4</v>
      </c>
      <c r="Y36" s="49">
        <f t="shared" ca="1" si="11"/>
        <v>0.39930555555555547</v>
      </c>
      <c r="Z36" s="44">
        <f ca="1">COUNTIF($M$19:$M35,"&gt;"&amp;$F36)</f>
        <v>0</v>
      </c>
      <c r="AA36" s="33"/>
      <c r="AB36" s="1"/>
    </row>
    <row r="37" spans="1:28" x14ac:dyDescent="0.3">
      <c r="A37" s="1">
        <f t="shared" ca="1" si="14"/>
        <v>18</v>
      </c>
      <c r="B37" s="44">
        <f t="shared" ca="1" si="15"/>
        <v>3</v>
      </c>
      <c r="C37" s="43">
        <f t="shared" ca="1" si="16"/>
        <v>2.0833333333333333E-3</v>
      </c>
      <c r="D37" s="43">
        <f t="shared" ca="1" si="12"/>
        <v>10</v>
      </c>
      <c r="E37" s="44">
        <f t="shared" ca="1" si="17"/>
        <v>6.9444444444444441E-3</v>
      </c>
      <c r="F37" s="47">
        <f t="shared" ca="1" si="13"/>
        <v>0.40069444444444435</v>
      </c>
      <c r="G37" s="47">
        <f t="shared" ca="1" si="0"/>
        <v>0</v>
      </c>
      <c r="H37" s="48" t="str">
        <f t="shared" ca="1" si="1"/>
        <v/>
      </c>
      <c r="I37" s="49" t="str">
        <f t="shared" ca="1" si="2"/>
        <v/>
      </c>
      <c r="J37" s="47">
        <f ca="1">IF(ISTEXT($F37),"",MAX($P$19:P36,$F37))</f>
        <v>0.40069444444444435</v>
      </c>
      <c r="K37" s="47">
        <f ca="1">IF(ISTEXT($F37),"",MAX($R$19:R36,$F37))</f>
        <v>0.40069444444444435</v>
      </c>
      <c r="L37" s="47">
        <f t="shared" ca="1" si="18"/>
        <v>0.40069444444444435</v>
      </c>
      <c r="M37" s="49">
        <f t="shared" ca="1" si="3"/>
        <v>0.40069444444444435</v>
      </c>
      <c r="N37" s="43">
        <f t="shared" ca="1" si="4"/>
        <v>1</v>
      </c>
      <c r="O37" s="49">
        <f t="shared" ca="1" si="5"/>
        <v>0.40069444444444435</v>
      </c>
      <c r="P37" s="46">
        <f t="shared" ca="1" si="6"/>
        <v>0.40763888888888877</v>
      </c>
      <c r="Q37" s="49" t="str">
        <f t="shared" ca="1" si="7"/>
        <v/>
      </c>
      <c r="R37" s="47">
        <f t="shared" ca="1" si="8"/>
        <v>0.39930555555555547</v>
      </c>
      <c r="S37" s="49" t="str">
        <f t="shared" ca="1" si="9"/>
        <v/>
      </c>
      <c r="T37" s="46">
        <f t="shared" ca="1" si="10"/>
        <v>0.39236111111111105</v>
      </c>
      <c r="U37" s="49" t="str">
        <f t="shared" ca="1" si="19"/>
        <v/>
      </c>
      <c r="V37" s="49">
        <f t="shared" ca="1" si="20"/>
        <v>0.40069444444444435</v>
      </c>
      <c r="W37" s="49">
        <f t="shared" ca="1" si="21"/>
        <v>6.9444444444444198E-3</v>
      </c>
      <c r="X37" s="49">
        <f t="shared" ca="1" si="22"/>
        <v>6.9444444444444441E-3</v>
      </c>
      <c r="Y37" s="49">
        <f t="shared" ca="1" si="11"/>
        <v>0.40763888888888877</v>
      </c>
      <c r="Z37" s="44">
        <f ca="1">COUNTIF($M$19:$M36,"&gt;"&amp;$F37)</f>
        <v>0</v>
      </c>
      <c r="AA37" s="33"/>
      <c r="AB37" s="1"/>
    </row>
    <row r="38" spans="1:28" x14ac:dyDescent="0.3">
      <c r="A38" s="1">
        <f t="shared" ca="1" si="14"/>
        <v>19</v>
      </c>
      <c r="B38" s="44">
        <f t="shared" ca="1" si="15"/>
        <v>1</v>
      </c>
      <c r="C38" s="43">
        <f t="shared" ca="1" si="16"/>
        <v>6.9444444444444447E-4</v>
      </c>
      <c r="D38" s="43">
        <f t="shared" ca="1" si="12"/>
        <v>5</v>
      </c>
      <c r="E38" s="44">
        <f t="shared" ca="1" si="17"/>
        <v>3.472222222222222E-3</v>
      </c>
      <c r="F38" s="47">
        <f t="shared" ca="1" si="13"/>
        <v>0.4013888888888888</v>
      </c>
      <c r="G38" s="47">
        <f t="shared" ca="1" si="0"/>
        <v>0</v>
      </c>
      <c r="H38" s="48" t="str">
        <f t="shared" ca="1" si="1"/>
        <v/>
      </c>
      <c r="I38" s="49" t="str">
        <f t="shared" ca="1" si="2"/>
        <v/>
      </c>
      <c r="J38" s="47">
        <f ca="1">IF(ISTEXT($F38),"",MAX($P$19:P37,$F38))</f>
        <v>0.40763888888888877</v>
      </c>
      <c r="K38" s="47">
        <f ca="1">IF(ISTEXT($F38),"",MAX($R$19:R37,$F38))</f>
        <v>0.4013888888888888</v>
      </c>
      <c r="L38" s="47">
        <f t="shared" ca="1" si="18"/>
        <v>0.4013888888888888</v>
      </c>
      <c r="M38" s="49">
        <f t="shared" ca="1" si="3"/>
        <v>0.4013888888888888</v>
      </c>
      <c r="N38" s="43">
        <f t="shared" ca="1" si="4"/>
        <v>2</v>
      </c>
      <c r="O38" s="49" t="str">
        <f t="shared" ca="1" si="5"/>
        <v/>
      </c>
      <c r="P38" s="46">
        <f t="shared" ca="1" si="6"/>
        <v>0.40763888888888877</v>
      </c>
      <c r="Q38" s="49">
        <f t="shared" ca="1" si="7"/>
        <v>0.4013888888888888</v>
      </c>
      <c r="R38" s="47">
        <f t="shared" ca="1" si="8"/>
        <v>0.40486111111111101</v>
      </c>
      <c r="S38" s="49" t="str">
        <f t="shared" ca="1" si="9"/>
        <v/>
      </c>
      <c r="T38" s="46">
        <f t="shared" ca="1" si="10"/>
        <v>0.39236111111111105</v>
      </c>
      <c r="U38" s="49" t="str">
        <f t="shared" ca="1" si="19"/>
        <v/>
      </c>
      <c r="V38" s="49">
        <f t="shared" ca="1" si="20"/>
        <v>0.4013888888888888</v>
      </c>
      <c r="W38" s="49">
        <f t="shared" ca="1" si="21"/>
        <v>3.4722222222222099E-3</v>
      </c>
      <c r="X38" s="49">
        <f t="shared" ca="1" si="22"/>
        <v>3.472222222222222E-3</v>
      </c>
      <c r="Y38" s="49">
        <f t="shared" ca="1" si="11"/>
        <v>0.40486111111111101</v>
      </c>
      <c r="Z38" s="44">
        <f ca="1">COUNTIF($M$19:$M37,"&gt;"&amp;$F38)</f>
        <v>0</v>
      </c>
      <c r="AA38" s="33"/>
      <c r="AB38" s="1"/>
    </row>
    <row r="39" spans="1:28" x14ac:dyDescent="0.3">
      <c r="A39" s="1">
        <f t="shared" ca="1" si="14"/>
        <v>20</v>
      </c>
      <c r="B39" s="44">
        <f t="shared" ca="1" si="15"/>
        <v>1</v>
      </c>
      <c r="C39" s="43">
        <f t="shared" ca="1" si="16"/>
        <v>6.9444444444444447E-4</v>
      </c>
      <c r="D39" s="43">
        <f t="shared" ca="1" si="12"/>
        <v>5</v>
      </c>
      <c r="E39" s="44">
        <f t="shared" ca="1" si="17"/>
        <v>3.472222222222222E-3</v>
      </c>
      <c r="F39" s="47">
        <f t="shared" ca="1" si="13"/>
        <v>0.40208333333333324</v>
      </c>
      <c r="G39" s="47">
        <f t="shared" ca="1" si="0"/>
        <v>0</v>
      </c>
      <c r="H39" s="48" t="str">
        <f t="shared" ca="1" si="1"/>
        <v/>
      </c>
      <c r="I39" s="49" t="str">
        <f t="shared" ca="1" si="2"/>
        <v/>
      </c>
      <c r="J39" s="47">
        <f ca="1">IF(ISTEXT($F39),"",MAX($P$19:P38,$F39))</f>
        <v>0.40763888888888877</v>
      </c>
      <c r="K39" s="47">
        <f ca="1">IF(ISTEXT($F39),"",MAX($R$19:R38,$F39))</f>
        <v>0.40486111111111101</v>
      </c>
      <c r="L39" s="47">
        <f t="shared" ca="1" si="18"/>
        <v>0.40208333333333324</v>
      </c>
      <c r="M39" s="49">
        <f t="shared" ca="1" si="3"/>
        <v>0.40208333333333324</v>
      </c>
      <c r="N39" s="43">
        <f t="shared" ca="1" si="4"/>
        <v>3</v>
      </c>
      <c r="O39" s="49" t="str">
        <f t="shared" ca="1" si="5"/>
        <v/>
      </c>
      <c r="P39" s="46">
        <f t="shared" ca="1" si="6"/>
        <v>0.40763888888888877</v>
      </c>
      <c r="Q39" s="49" t="str">
        <f t="shared" ca="1" si="7"/>
        <v/>
      </c>
      <c r="R39" s="47">
        <f t="shared" ca="1" si="8"/>
        <v>0.40486111111111101</v>
      </c>
      <c r="S39" s="49">
        <f t="shared" ca="1" si="9"/>
        <v>0.40208333333333324</v>
      </c>
      <c r="T39" s="46">
        <f t="shared" ca="1" si="10"/>
        <v>0.40555555555555545</v>
      </c>
      <c r="U39" s="49" t="str">
        <f t="shared" ca="1" si="19"/>
        <v/>
      </c>
      <c r="V39" s="49">
        <f t="shared" ca="1" si="20"/>
        <v>0.40208333333333324</v>
      </c>
      <c r="W39" s="49">
        <f t="shared" ca="1" si="21"/>
        <v>3.4722222222222099E-3</v>
      </c>
      <c r="X39" s="49">
        <f t="shared" ca="1" si="22"/>
        <v>3.472222222222222E-3</v>
      </c>
      <c r="Y39" s="49">
        <f t="shared" ca="1" si="11"/>
        <v>0.40555555555555545</v>
      </c>
      <c r="Z39" s="44">
        <f ca="1">COUNTIF($M$19:$M38,"&gt;"&amp;$F39)</f>
        <v>0</v>
      </c>
      <c r="AA39" s="33"/>
      <c r="AB39" s="1"/>
    </row>
    <row r="40" spans="1:28" x14ac:dyDescent="0.3">
      <c r="A40" s="1">
        <f t="shared" ca="1" si="14"/>
        <v>21</v>
      </c>
      <c r="B40" s="44">
        <f t="shared" ca="1" si="15"/>
        <v>1</v>
      </c>
      <c r="C40" s="43">
        <f t="shared" ca="1" si="16"/>
        <v>6.9444444444444447E-4</v>
      </c>
      <c r="D40" s="43">
        <f t="shared" ca="1" si="12"/>
        <v>3</v>
      </c>
      <c r="E40" s="44">
        <f t="shared" ca="1" si="17"/>
        <v>2.0833333333333333E-3</v>
      </c>
      <c r="F40" s="47">
        <f t="shared" ca="1" si="13"/>
        <v>0.40277777777777768</v>
      </c>
      <c r="G40" s="47">
        <f t="shared" ca="1" si="0"/>
        <v>2.0833333333333259E-3</v>
      </c>
      <c r="H40" s="48" t="str">
        <f t="shared" ca="1" si="1"/>
        <v/>
      </c>
      <c r="I40" s="49" t="str">
        <f t="shared" ca="1" si="2"/>
        <v/>
      </c>
      <c r="J40" s="47">
        <f ca="1">IF(ISTEXT($F40),"",MAX($P$19:P39,$F40))</f>
        <v>0.40763888888888877</v>
      </c>
      <c r="K40" s="47">
        <f ca="1">IF(ISTEXT($F40),"",MAX($R$19:R39,$F40))</f>
        <v>0.40486111111111101</v>
      </c>
      <c r="L40" s="47">
        <f t="shared" ca="1" si="18"/>
        <v>0.40555555555555545</v>
      </c>
      <c r="M40" s="49">
        <f t="shared" ca="1" si="3"/>
        <v>0.40486111111111101</v>
      </c>
      <c r="N40" s="43">
        <f t="shared" ca="1" si="4"/>
        <v>2</v>
      </c>
      <c r="O40" s="49" t="str">
        <f t="shared" ca="1" si="5"/>
        <v/>
      </c>
      <c r="P40" s="46">
        <f t="shared" ca="1" si="6"/>
        <v>0.40763888888888877</v>
      </c>
      <c r="Q40" s="49">
        <f t="shared" ca="1" si="7"/>
        <v>0.40486111111111101</v>
      </c>
      <c r="R40" s="47">
        <f t="shared" ca="1" si="8"/>
        <v>0.40694444444444433</v>
      </c>
      <c r="S40" s="49" t="str">
        <f t="shared" ca="1" si="9"/>
        <v/>
      </c>
      <c r="T40" s="46">
        <f t="shared" ca="1" si="10"/>
        <v>0.40555555555555545</v>
      </c>
      <c r="U40" s="49" t="str">
        <f t="shared" ca="1" si="19"/>
        <v/>
      </c>
      <c r="V40" s="49">
        <f t="shared" ca="1" si="20"/>
        <v>0.40486111111111101</v>
      </c>
      <c r="W40" s="49">
        <f t="shared" ca="1" si="21"/>
        <v>4.1666666666666519E-3</v>
      </c>
      <c r="X40" s="49">
        <f t="shared" ca="1" si="22"/>
        <v>4.1666666666666588E-3</v>
      </c>
      <c r="Y40" s="49">
        <f t="shared" ca="1" si="11"/>
        <v>0.40694444444444433</v>
      </c>
      <c r="Z40" s="44">
        <f ca="1">COUNTIF($M$19:$M39,"&gt;"&amp;$F40)</f>
        <v>0</v>
      </c>
      <c r="AA40" s="33"/>
      <c r="AB40" s="1"/>
    </row>
    <row r="41" spans="1:28" x14ac:dyDescent="0.3">
      <c r="A41" s="1">
        <f t="shared" ca="1" si="14"/>
        <v>22</v>
      </c>
      <c r="B41" s="44">
        <f t="shared" ca="1" si="15"/>
        <v>1</v>
      </c>
      <c r="C41" s="43">
        <f t="shared" ca="1" si="16"/>
        <v>6.9444444444444447E-4</v>
      </c>
      <c r="D41" s="43">
        <f t="shared" ca="1" si="12"/>
        <v>3</v>
      </c>
      <c r="E41" s="44">
        <f t="shared" ca="1" si="17"/>
        <v>2.0833333333333333E-3</v>
      </c>
      <c r="F41" s="47">
        <f t="shared" ca="1" si="13"/>
        <v>0.40347222222222212</v>
      </c>
      <c r="G41" s="47">
        <f t="shared" ca="1" si="0"/>
        <v>2.0833333333333259E-3</v>
      </c>
      <c r="H41" s="48" t="str">
        <f t="shared" ca="1" si="1"/>
        <v/>
      </c>
      <c r="I41" s="49" t="str">
        <f t="shared" ca="1" si="2"/>
        <v/>
      </c>
      <c r="J41" s="47">
        <f ca="1">IF(ISTEXT($F41),"",MAX($P$19:P40,$F41))</f>
        <v>0.40763888888888877</v>
      </c>
      <c r="K41" s="47">
        <f ca="1">IF(ISTEXT($F41),"",MAX($R$19:R40,$F41))</f>
        <v>0.40694444444444433</v>
      </c>
      <c r="L41" s="47">
        <f t="shared" ca="1" si="18"/>
        <v>0.40555555555555545</v>
      </c>
      <c r="M41" s="49">
        <f t="shared" ca="1" si="3"/>
        <v>0.40555555555555545</v>
      </c>
      <c r="N41" s="43">
        <f t="shared" ca="1" si="4"/>
        <v>3</v>
      </c>
      <c r="O41" s="49" t="str">
        <f t="shared" ca="1" si="5"/>
        <v/>
      </c>
      <c r="P41" s="46">
        <f t="shared" ca="1" si="6"/>
        <v>0.40763888888888877</v>
      </c>
      <c r="Q41" s="49" t="str">
        <f t="shared" ca="1" si="7"/>
        <v/>
      </c>
      <c r="R41" s="47">
        <f t="shared" ca="1" si="8"/>
        <v>0.40694444444444433</v>
      </c>
      <c r="S41" s="49">
        <f t="shared" ca="1" si="9"/>
        <v>0.40555555555555545</v>
      </c>
      <c r="T41" s="46">
        <f t="shared" ca="1" si="10"/>
        <v>0.40763888888888877</v>
      </c>
      <c r="U41" s="49" t="str">
        <f t="shared" ca="1" si="19"/>
        <v/>
      </c>
      <c r="V41" s="49">
        <f t="shared" ca="1" si="20"/>
        <v>0.40555555555555545</v>
      </c>
      <c r="W41" s="49">
        <f t="shared" ca="1" si="21"/>
        <v>4.1666666666666519E-3</v>
      </c>
      <c r="X41" s="49">
        <f t="shared" ca="1" si="22"/>
        <v>4.1666666666666588E-3</v>
      </c>
      <c r="Y41" s="49">
        <f t="shared" ca="1" si="11"/>
        <v>0.40763888888888877</v>
      </c>
      <c r="Z41" s="44">
        <f ca="1">COUNTIF($M$19:$M40,"&gt;"&amp;$F41)</f>
        <v>1</v>
      </c>
      <c r="AA41" s="33"/>
      <c r="AB41" s="1"/>
    </row>
    <row r="42" spans="1:28" x14ac:dyDescent="0.3">
      <c r="A42" s="1">
        <f t="shared" ca="1" si="14"/>
        <v>23</v>
      </c>
      <c r="B42" s="44">
        <f t="shared" ca="1" si="15"/>
        <v>3</v>
      </c>
      <c r="C42" s="43">
        <f t="shared" ca="1" si="16"/>
        <v>2.0833333333333333E-3</v>
      </c>
      <c r="D42" s="43">
        <f t="shared" ca="1" si="12"/>
        <v>10</v>
      </c>
      <c r="E42" s="44">
        <f t="shared" ca="1" si="17"/>
        <v>6.9444444444444441E-3</v>
      </c>
      <c r="F42" s="47">
        <f t="shared" ca="1" si="13"/>
        <v>0.40555555555555545</v>
      </c>
      <c r="G42" s="47">
        <f t="shared" ca="1" si="0"/>
        <v>1.388888888888884E-3</v>
      </c>
      <c r="H42" s="48" t="str">
        <f t="shared" ca="1" si="1"/>
        <v/>
      </c>
      <c r="I42" s="49" t="str">
        <f t="shared" ca="1" si="2"/>
        <v/>
      </c>
      <c r="J42" s="47">
        <f ca="1">IF(ISTEXT($F42),"",MAX($P$19:P41,$F42))</f>
        <v>0.40763888888888877</v>
      </c>
      <c r="K42" s="47">
        <f ca="1">IF(ISTEXT($F42),"",MAX($R$19:R41,$F42))</f>
        <v>0.40694444444444433</v>
      </c>
      <c r="L42" s="47">
        <f t="shared" ca="1" si="18"/>
        <v>0.40763888888888877</v>
      </c>
      <c r="M42" s="49">
        <f t="shared" ca="1" si="3"/>
        <v>0.40694444444444433</v>
      </c>
      <c r="N42" s="43">
        <f t="shared" ca="1" si="4"/>
        <v>2</v>
      </c>
      <c r="O42" s="49" t="str">
        <f t="shared" ca="1" si="5"/>
        <v/>
      </c>
      <c r="P42" s="46">
        <f t="shared" ca="1" si="6"/>
        <v>0.40763888888888877</v>
      </c>
      <c r="Q42" s="49">
        <f t="shared" ca="1" si="7"/>
        <v>0.40694444444444433</v>
      </c>
      <c r="R42" s="47">
        <f t="shared" ca="1" si="8"/>
        <v>0.41388888888888875</v>
      </c>
      <c r="S42" s="49" t="str">
        <f t="shared" ca="1" si="9"/>
        <v/>
      </c>
      <c r="T42" s="46">
        <f t="shared" ca="1" si="10"/>
        <v>0.40763888888888877</v>
      </c>
      <c r="U42" s="49" t="str">
        <f t="shared" ca="1" si="19"/>
        <v/>
      </c>
      <c r="V42" s="49">
        <f t="shared" ca="1" si="20"/>
        <v>0.40694444444444433</v>
      </c>
      <c r="W42" s="49">
        <f t="shared" ca="1" si="21"/>
        <v>8.3333333333333037E-3</v>
      </c>
      <c r="X42" s="49">
        <f t="shared" ca="1" si="22"/>
        <v>8.333333333333328E-3</v>
      </c>
      <c r="Y42" s="49">
        <f t="shared" ca="1" si="11"/>
        <v>0.41388888888888875</v>
      </c>
      <c r="Z42" s="44">
        <f ca="1">COUNTIF($M$19:$M41,"&gt;"&amp;$F42)</f>
        <v>0</v>
      </c>
      <c r="AA42" s="33"/>
      <c r="AB42" s="1"/>
    </row>
    <row r="43" spans="1:28" x14ac:dyDescent="0.3">
      <c r="A43" s="1">
        <f t="shared" ca="1" si="14"/>
        <v>24</v>
      </c>
      <c r="B43" s="44">
        <f t="shared" ca="1" si="15"/>
        <v>1</v>
      </c>
      <c r="C43" s="43">
        <f t="shared" ca="1" si="16"/>
        <v>6.9444444444444447E-4</v>
      </c>
      <c r="D43" s="43">
        <f t="shared" ca="1" si="12"/>
        <v>10</v>
      </c>
      <c r="E43" s="44">
        <f t="shared" ca="1" si="17"/>
        <v>6.9444444444444441E-3</v>
      </c>
      <c r="F43" s="47">
        <f t="shared" ca="1" si="13"/>
        <v>0.40624999999999989</v>
      </c>
      <c r="G43" s="47">
        <f t="shared" ca="1" si="0"/>
        <v>1.388888888888884E-3</v>
      </c>
      <c r="H43" s="48" t="str">
        <f t="shared" ca="1" si="1"/>
        <v/>
      </c>
      <c r="I43" s="49" t="str">
        <f t="shared" ca="1" si="2"/>
        <v/>
      </c>
      <c r="J43" s="47">
        <f ca="1">IF(ISTEXT($F43),"",MAX($P$19:P42,$F43))</f>
        <v>0.40763888888888877</v>
      </c>
      <c r="K43" s="47">
        <f ca="1">IF(ISTEXT($F43),"",MAX($R$19:R42,$F43))</f>
        <v>0.41388888888888875</v>
      </c>
      <c r="L43" s="47">
        <f t="shared" ca="1" si="18"/>
        <v>0.40763888888888877</v>
      </c>
      <c r="M43" s="49">
        <f t="shared" ca="1" si="3"/>
        <v>0.40763888888888877</v>
      </c>
      <c r="N43" s="43">
        <f t="shared" ca="1" si="4"/>
        <v>1</v>
      </c>
      <c r="O43" s="49">
        <f t="shared" ca="1" si="5"/>
        <v>0.40763888888888877</v>
      </c>
      <c r="P43" s="46">
        <f t="shared" ca="1" si="6"/>
        <v>0.41458333333333319</v>
      </c>
      <c r="Q43" s="49" t="str">
        <f t="shared" ca="1" si="7"/>
        <v/>
      </c>
      <c r="R43" s="47">
        <f t="shared" ca="1" si="8"/>
        <v>0.41388888888888875</v>
      </c>
      <c r="S43" s="49" t="str">
        <f t="shared" ca="1" si="9"/>
        <v/>
      </c>
      <c r="T43" s="46">
        <f t="shared" ca="1" si="10"/>
        <v>0.40763888888888877</v>
      </c>
      <c r="U43" s="49" t="str">
        <f t="shared" ca="1" si="19"/>
        <v/>
      </c>
      <c r="V43" s="49">
        <f t="shared" ca="1" si="20"/>
        <v>0.40763888888888877</v>
      </c>
      <c r="W43" s="49">
        <f t="shared" ca="1" si="21"/>
        <v>8.3333333333333037E-3</v>
      </c>
      <c r="X43" s="49">
        <f t="shared" ca="1" si="22"/>
        <v>8.333333333333328E-3</v>
      </c>
      <c r="Y43" s="49">
        <f t="shared" ca="1" si="11"/>
        <v>0.41458333333333319</v>
      </c>
      <c r="Z43" s="44">
        <f ca="1">COUNTIF($M$19:$M42,"&gt;"&amp;$F43)</f>
        <v>1</v>
      </c>
      <c r="AA43" s="33"/>
      <c r="AB43" s="1"/>
    </row>
    <row r="44" spans="1:28" x14ac:dyDescent="0.3">
      <c r="A44" s="1">
        <f t="shared" ca="1" si="14"/>
        <v>25</v>
      </c>
      <c r="B44" s="44">
        <f t="shared" ca="1" si="15"/>
        <v>2</v>
      </c>
      <c r="C44" s="43">
        <f t="shared" ca="1" si="16"/>
        <v>1.3888888888888889E-3</v>
      </c>
      <c r="D44" s="43">
        <f t="shared" ca="1" si="12"/>
        <v>10</v>
      </c>
      <c r="E44" s="44">
        <f t="shared" ca="1" si="17"/>
        <v>6.9444444444444441E-3</v>
      </c>
      <c r="F44" s="47">
        <f t="shared" ca="1" si="13"/>
        <v>0.40763888888888877</v>
      </c>
      <c r="G44" s="47">
        <f t="shared" ca="1" si="0"/>
        <v>0</v>
      </c>
      <c r="H44" s="48" t="str">
        <f t="shared" ca="1" si="1"/>
        <v/>
      </c>
      <c r="I44" s="49" t="str">
        <f t="shared" ca="1" si="2"/>
        <v/>
      </c>
      <c r="J44" s="47">
        <f ca="1">IF(ISTEXT($F44),"",MAX($P$19:P43,$F44))</f>
        <v>0.41458333333333319</v>
      </c>
      <c r="K44" s="47">
        <f ca="1">IF(ISTEXT($F44),"",MAX($R$19:R43,$F44))</f>
        <v>0.41388888888888875</v>
      </c>
      <c r="L44" s="47">
        <f t="shared" ca="1" si="18"/>
        <v>0.40763888888888877</v>
      </c>
      <c r="M44" s="49">
        <f t="shared" ca="1" si="3"/>
        <v>0.40763888888888877</v>
      </c>
      <c r="N44" s="43">
        <f t="shared" ca="1" si="4"/>
        <v>3</v>
      </c>
      <c r="O44" s="49" t="str">
        <f t="shared" ca="1" si="5"/>
        <v/>
      </c>
      <c r="P44" s="46">
        <f t="shared" ca="1" si="6"/>
        <v>0.41458333333333319</v>
      </c>
      <c r="Q44" s="49" t="str">
        <f t="shared" ca="1" si="7"/>
        <v/>
      </c>
      <c r="R44" s="47">
        <f t="shared" ca="1" si="8"/>
        <v>0.41388888888888875</v>
      </c>
      <c r="S44" s="49">
        <f t="shared" ca="1" si="9"/>
        <v>0.40763888888888877</v>
      </c>
      <c r="T44" s="46">
        <f t="shared" ca="1" si="10"/>
        <v>0.41458333333333319</v>
      </c>
      <c r="U44" s="49" t="str">
        <f t="shared" ca="1" si="19"/>
        <v/>
      </c>
      <c r="V44" s="49">
        <f t="shared" ca="1" si="20"/>
        <v>0.40763888888888877</v>
      </c>
      <c r="W44" s="49">
        <f t="shared" ca="1" si="21"/>
        <v>6.9444444444444198E-3</v>
      </c>
      <c r="X44" s="49">
        <f t="shared" ca="1" si="22"/>
        <v>6.9444444444444441E-3</v>
      </c>
      <c r="Y44" s="49">
        <f t="shared" ca="1" si="11"/>
        <v>0.41458333333333319</v>
      </c>
      <c r="Z44" s="44">
        <f ca="1">COUNTIF($M$19:$M43,"&gt;"&amp;$F44)</f>
        <v>0</v>
      </c>
      <c r="AA44" s="33"/>
      <c r="AB44" s="1"/>
    </row>
    <row r="45" spans="1:28" x14ac:dyDescent="0.3">
      <c r="A45" s="1">
        <f t="shared" ca="1" si="14"/>
        <v>26</v>
      </c>
      <c r="B45" s="44">
        <f t="shared" ca="1" si="15"/>
        <v>1</v>
      </c>
      <c r="C45" s="43">
        <f t="shared" ca="1" si="16"/>
        <v>6.9444444444444447E-4</v>
      </c>
      <c r="D45" s="43">
        <f t="shared" ca="1" si="12"/>
        <v>10</v>
      </c>
      <c r="E45" s="44">
        <f t="shared" ca="1" si="17"/>
        <v>6.9444444444444441E-3</v>
      </c>
      <c r="F45" s="47">
        <f t="shared" ca="1" si="13"/>
        <v>0.40833333333333321</v>
      </c>
      <c r="G45" s="47">
        <f t="shared" ca="1" si="0"/>
        <v>5.5555555555555358E-3</v>
      </c>
      <c r="H45" s="48" t="str">
        <f t="shared" ca="1" si="1"/>
        <v>ушел</v>
      </c>
      <c r="I45" s="49">
        <f t="shared" ca="1" si="2"/>
        <v>0.41041666666666654</v>
      </c>
      <c r="J45" s="47">
        <f ca="1">IF(ISTEXT($F45),"",MAX($P$19:P44,$F45))</f>
        <v>0.41458333333333319</v>
      </c>
      <c r="K45" s="47">
        <f ca="1">IF(ISTEXT($F45),"",MAX($R$19:R44,$F45))</f>
        <v>0.41388888888888875</v>
      </c>
      <c r="L45" s="47">
        <f t="shared" ca="1" si="18"/>
        <v>0.41458333333333319</v>
      </c>
      <c r="M45" s="49">
        <f t="shared" ca="1" si="3"/>
        <v>0.41388888888888875</v>
      </c>
      <c r="N45" s="43" t="str">
        <f t="shared" ca="1" si="4"/>
        <v/>
      </c>
      <c r="O45" s="49" t="str">
        <f t="shared" ca="1" si="5"/>
        <v/>
      </c>
      <c r="P45" s="46">
        <f t="shared" ca="1" si="6"/>
        <v>0.41458333333333319</v>
      </c>
      <c r="Q45" s="49" t="str">
        <f t="shared" ca="1" si="7"/>
        <v/>
      </c>
      <c r="R45" s="47">
        <f t="shared" ca="1" si="8"/>
        <v>0.41388888888888875</v>
      </c>
      <c r="S45" s="49" t="str">
        <f t="shared" ca="1" si="9"/>
        <v/>
      </c>
      <c r="T45" s="46">
        <f t="shared" ca="1" si="10"/>
        <v>0.41458333333333319</v>
      </c>
      <c r="U45" s="49">
        <f t="shared" ca="1" si="19"/>
        <v>2.0833333333333259E-3</v>
      </c>
      <c r="V45" s="49" t="str">
        <f t="shared" ca="1" si="20"/>
        <v/>
      </c>
      <c r="W45" s="49">
        <f t="shared" ca="1" si="21"/>
        <v>2.0833333333333259E-3</v>
      </c>
      <c r="X45" s="49">
        <f t="shared" ca="1" si="22"/>
        <v>2.0833333333333259E-3</v>
      </c>
      <c r="Y45" s="49">
        <f t="shared" ca="1" si="11"/>
        <v>0.41041666666666654</v>
      </c>
      <c r="Z45" s="44">
        <f ca="1">COUNTIF($M$19:$M44,"&gt;"&amp;$F45)</f>
        <v>0</v>
      </c>
      <c r="AA45" s="33"/>
      <c r="AB45" s="1"/>
    </row>
    <row r="46" spans="1:28" x14ac:dyDescent="0.3">
      <c r="A46" s="1">
        <f t="shared" ca="1" si="14"/>
        <v>27</v>
      </c>
      <c r="B46" s="44">
        <f t="shared" ca="1" si="15"/>
        <v>2</v>
      </c>
      <c r="C46" s="43">
        <f t="shared" ca="1" si="16"/>
        <v>1.3888888888888889E-3</v>
      </c>
      <c r="D46" s="43">
        <f t="shared" ca="1" si="12"/>
        <v>3</v>
      </c>
      <c r="E46" s="44">
        <f t="shared" ca="1" si="17"/>
        <v>2.0833333333333333E-3</v>
      </c>
      <c r="F46" s="47">
        <f t="shared" ca="1" si="13"/>
        <v>0.4097222222222221</v>
      </c>
      <c r="G46" s="47">
        <f t="shared" ca="1" si="0"/>
        <v>4.1666666666666519E-3</v>
      </c>
      <c r="H46" s="48" t="str">
        <f t="shared" ca="1" si="1"/>
        <v>ушел</v>
      </c>
      <c r="I46" s="49">
        <f t="shared" ca="1" si="2"/>
        <v>0.41180555555555542</v>
      </c>
      <c r="J46" s="47">
        <f ca="1">IF(ISTEXT($F46),"",MAX($P$19:P45,$F46))</f>
        <v>0.41458333333333319</v>
      </c>
      <c r="K46" s="47">
        <f ca="1">IF(ISTEXT($F46),"",MAX($R$19:R45,$F46))</f>
        <v>0.41388888888888875</v>
      </c>
      <c r="L46" s="47">
        <f t="shared" ca="1" si="18"/>
        <v>0.41458333333333319</v>
      </c>
      <c r="M46" s="49">
        <f t="shared" ca="1" si="3"/>
        <v>0.41388888888888875</v>
      </c>
      <c r="N46" s="43" t="str">
        <f t="shared" ca="1" si="4"/>
        <v/>
      </c>
      <c r="O46" s="49" t="str">
        <f t="shared" ca="1" si="5"/>
        <v/>
      </c>
      <c r="P46" s="46">
        <f t="shared" ca="1" si="6"/>
        <v>0.41458333333333319</v>
      </c>
      <c r="Q46" s="49" t="str">
        <f t="shared" ca="1" si="7"/>
        <v/>
      </c>
      <c r="R46" s="47">
        <f t="shared" ca="1" si="8"/>
        <v>0.41388888888888875</v>
      </c>
      <c r="S46" s="49" t="str">
        <f t="shared" ca="1" si="9"/>
        <v/>
      </c>
      <c r="T46" s="46">
        <f t="shared" ca="1" si="10"/>
        <v>0.41458333333333319</v>
      </c>
      <c r="U46" s="49">
        <f t="shared" ca="1" si="19"/>
        <v>2.0833333333333259E-3</v>
      </c>
      <c r="V46" s="49" t="str">
        <f t="shared" ca="1" si="20"/>
        <v/>
      </c>
      <c r="W46" s="49">
        <f t="shared" ca="1" si="21"/>
        <v>2.0833333333333259E-3</v>
      </c>
      <c r="X46" s="49">
        <f t="shared" ca="1" si="22"/>
        <v>2.0833333333333259E-3</v>
      </c>
      <c r="Y46" s="49">
        <f t="shared" ca="1" si="11"/>
        <v>0.41180555555555542</v>
      </c>
      <c r="Z46" s="44">
        <f ca="1">COUNTIF($M$19:$M45,"&gt;"&amp;$F46)</f>
        <v>1</v>
      </c>
      <c r="AA46" s="33"/>
      <c r="AB46" s="1"/>
    </row>
    <row r="47" spans="1:28" x14ac:dyDescent="0.3">
      <c r="A47" s="1">
        <f t="shared" ca="1" si="14"/>
        <v>28</v>
      </c>
      <c r="B47" s="44">
        <f t="shared" ca="1" si="15"/>
        <v>3</v>
      </c>
      <c r="C47" s="43">
        <f t="shared" ca="1" si="16"/>
        <v>2.0833333333333333E-3</v>
      </c>
      <c r="D47" s="43">
        <f t="shared" ca="1" si="12"/>
        <v>3</v>
      </c>
      <c r="E47" s="44">
        <f t="shared" ca="1" si="17"/>
        <v>2.0833333333333333E-3</v>
      </c>
      <c r="F47" s="47">
        <f t="shared" ca="1" si="13"/>
        <v>0.41180555555555542</v>
      </c>
      <c r="G47" s="47">
        <f t="shared" ca="1" si="0"/>
        <v>2.0833333333333259E-3</v>
      </c>
      <c r="H47" s="48" t="str">
        <f t="shared" ca="1" si="1"/>
        <v/>
      </c>
      <c r="I47" s="49" t="str">
        <f t="shared" ca="1" si="2"/>
        <v/>
      </c>
      <c r="J47" s="47">
        <f ca="1">IF(ISTEXT($F47),"",MAX($P$19:P46,$F47))</f>
        <v>0.41458333333333319</v>
      </c>
      <c r="K47" s="47">
        <f ca="1">IF(ISTEXT($F47),"",MAX($R$19:R46,$F47))</f>
        <v>0.41388888888888875</v>
      </c>
      <c r="L47" s="47">
        <f t="shared" ca="1" si="18"/>
        <v>0.41458333333333319</v>
      </c>
      <c r="M47" s="49">
        <f t="shared" ca="1" si="3"/>
        <v>0.41388888888888875</v>
      </c>
      <c r="N47" s="43">
        <f t="shared" ca="1" si="4"/>
        <v>2</v>
      </c>
      <c r="O47" s="49" t="str">
        <f t="shared" ca="1" si="5"/>
        <v/>
      </c>
      <c r="P47" s="46">
        <f t="shared" ca="1" si="6"/>
        <v>0.41458333333333319</v>
      </c>
      <c r="Q47" s="49">
        <f t="shared" ca="1" si="7"/>
        <v>0.41388888888888875</v>
      </c>
      <c r="R47" s="47">
        <f t="shared" ca="1" si="8"/>
        <v>0.41597222222222208</v>
      </c>
      <c r="S47" s="49" t="str">
        <f t="shared" ca="1" si="9"/>
        <v/>
      </c>
      <c r="T47" s="46">
        <f t="shared" ca="1" si="10"/>
        <v>0.41458333333333319</v>
      </c>
      <c r="U47" s="49" t="str">
        <f t="shared" ca="1" si="19"/>
        <v/>
      </c>
      <c r="V47" s="49">
        <f t="shared" ca="1" si="20"/>
        <v>0.41388888888888875</v>
      </c>
      <c r="W47" s="49">
        <f t="shared" ca="1" si="21"/>
        <v>4.1666666666666519E-3</v>
      </c>
      <c r="X47" s="49">
        <f t="shared" ca="1" si="22"/>
        <v>4.1666666666666588E-3</v>
      </c>
      <c r="Y47" s="49">
        <f t="shared" ca="1" si="11"/>
        <v>0.41597222222222208</v>
      </c>
      <c r="Z47" s="44">
        <f ca="1">COUNTIF($M$19:$M46,"&gt;"&amp;$F47)</f>
        <v>2</v>
      </c>
      <c r="AA47" s="33"/>
      <c r="AB47" s="1"/>
    </row>
    <row r="48" spans="1:28" x14ac:dyDescent="0.3">
      <c r="A48" s="1">
        <f t="shared" ca="1" si="14"/>
        <v>29</v>
      </c>
      <c r="B48" s="44">
        <f t="shared" ca="1" si="15"/>
        <v>1</v>
      </c>
      <c r="C48" s="43">
        <f t="shared" ca="1" si="16"/>
        <v>6.9444444444444447E-4</v>
      </c>
      <c r="D48" s="43">
        <f t="shared" ca="1" si="12"/>
        <v>1</v>
      </c>
      <c r="E48" s="44">
        <f t="shared" ca="1" si="17"/>
        <v>6.9444444444444447E-4</v>
      </c>
      <c r="F48" s="47">
        <f t="shared" ca="1" si="13"/>
        <v>0.41249999999999987</v>
      </c>
      <c r="G48" s="47">
        <f t="shared" ca="1" si="0"/>
        <v>2.0833333333333259E-3</v>
      </c>
      <c r="H48" s="48" t="str">
        <f t="shared" ca="1" si="1"/>
        <v/>
      </c>
      <c r="I48" s="49" t="str">
        <f t="shared" ca="1" si="2"/>
        <v/>
      </c>
      <c r="J48" s="47">
        <f ca="1">IF(ISTEXT($F48),"",MAX($P$19:P47,$F48))</f>
        <v>0.41458333333333319</v>
      </c>
      <c r="K48" s="47">
        <f ca="1">IF(ISTEXT($F48),"",MAX($R$19:R47,$F48))</f>
        <v>0.41597222222222208</v>
      </c>
      <c r="L48" s="47">
        <f t="shared" ca="1" si="18"/>
        <v>0.41458333333333319</v>
      </c>
      <c r="M48" s="49">
        <f t="shared" ca="1" si="3"/>
        <v>0.41458333333333319</v>
      </c>
      <c r="N48" s="43">
        <f t="shared" ca="1" si="4"/>
        <v>1</v>
      </c>
      <c r="O48" s="49">
        <f t="shared" ca="1" si="5"/>
        <v>0.41458333333333319</v>
      </c>
      <c r="P48" s="46">
        <f t="shared" ca="1" si="6"/>
        <v>0.41527777777777763</v>
      </c>
      <c r="Q48" s="49" t="str">
        <f t="shared" ca="1" si="7"/>
        <v/>
      </c>
      <c r="R48" s="47">
        <f t="shared" ca="1" si="8"/>
        <v>0.41597222222222208</v>
      </c>
      <c r="S48" s="49" t="str">
        <f t="shared" ca="1" si="9"/>
        <v/>
      </c>
      <c r="T48" s="46">
        <f t="shared" ca="1" si="10"/>
        <v>0.41458333333333319</v>
      </c>
      <c r="U48" s="49" t="str">
        <f t="shared" ca="1" si="19"/>
        <v/>
      </c>
      <c r="V48" s="49">
        <f t="shared" ca="1" si="20"/>
        <v>0.41458333333333319</v>
      </c>
      <c r="W48" s="49">
        <f t="shared" ca="1" si="21"/>
        <v>2.7777777777777679E-3</v>
      </c>
      <c r="X48" s="49">
        <f t="shared" ca="1" si="22"/>
        <v>2.7777777777777705E-3</v>
      </c>
      <c r="Y48" s="49">
        <f t="shared" ca="1" si="11"/>
        <v>0.41527777777777763</v>
      </c>
      <c r="Z48" s="44">
        <f ca="1">COUNTIF($M$19:$M47,"&gt;"&amp;$F48)</f>
        <v>3</v>
      </c>
      <c r="AA48" s="33"/>
      <c r="AB48" s="1"/>
    </row>
    <row r="49" spans="1:28" x14ac:dyDescent="0.3">
      <c r="A49" s="1">
        <f t="shared" ca="1" si="14"/>
        <v>30</v>
      </c>
      <c r="B49" s="44">
        <f t="shared" ca="1" si="15"/>
        <v>2</v>
      </c>
      <c r="C49" s="43">
        <f t="shared" ca="1" si="16"/>
        <v>1.3888888888888889E-3</v>
      </c>
      <c r="D49" s="43">
        <f t="shared" ca="1" si="12"/>
        <v>1</v>
      </c>
      <c r="E49" s="44">
        <f t="shared" ca="1" si="17"/>
        <v>6.9444444444444447E-4</v>
      </c>
      <c r="F49" s="47">
        <f t="shared" ca="1" si="13"/>
        <v>0.41388888888888875</v>
      </c>
      <c r="G49" s="47">
        <f t="shared" ca="1" si="0"/>
        <v>6.9444444444444198E-4</v>
      </c>
      <c r="H49" s="48" t="str">
        <f t="shared" ca="1" si="1"/>
        <v/>
      </c>
      <c r="I49" s="49" t="str">
        <f t="shared" ca="1" si="2"/>
        <v/>
      </c>
      <c r="J49" s="47">
        <f ca="1">IF(ISTEXT($F49),"",MAX($P$19:P48,$F49))</f>
        <v>0.41527777777777763</v>
      </c>
      <c r="K49" s="47">
        <f ca="1">IF(ISTEXT($F49),"",MAX($R$19:R48,$F49))</f>
        <v>0.41597222222222208</v>
      </c>
      <c r="L49" s="47">
        <f t="shared" ca="1" si="18"/>
        <v>0.41458333333333319</v>
      </c>
      <c r="M49" s="49">
        <f t="shared" ca="1" si="3"/>
        <v>0.41458333333333319</v>
      </c>
      <c r="N49" s="43">
        <f t="shared" ca="1" si="4"/>
        <v>3</v>
      </c>
      <c r="O49" s="49" t="str">
        <f t="shared" ca="1" si="5"/>
        <v/>
      </c>
      <c r="P49" s="46">
        <f t="shared" ca="1" si="6"/>
        <v>0.41527777777777763</v>
      </c>
      <c r="Q49" s="49" t="str">
        <f t="shared" ca="1" si="7"/>
        <v/>
      </c>
      <c r="R49" s="47">
        <f t="shared" ca="1" si="8"/>
        <v>0.41597222222222208</v>
      </c>
      <c r="S49" s="49">
        <f t="shared" ca="1" si="9"/>
        <v>0.41458333333333319</v>
      </c>
      <c r="T49" s="46">
        <f t="shared" ca="1" si="10"/>
        <v>0.41527777777777763</v>
      </c>
      <c r="U49" s="49" t="str">
        <f t="shared" ca="1" si="19"/>
        <v/>
      </c>
      <c r="V49" s="49">
        <f t="shared" ca="1" si="20"/>
        <v>0.41458333333333319</v>
      </c>
      <c r="W49" s="49">
        <f t="shared" ca="1" si="21"/>
        <v>1.388888888888884E-3</v>
      </c>
      <c r="X49" s="49">
        <f t="shared" ca="1" si="22"/>
        <v>1.3888888888888866E-3</v>
      </c>
      <c r="Y49" s="49">
        <f t="shared" ca="1" si="11"/>
        <v>0.41527777777777763</v>
      </c>
      <c r="Z49" s="44">
        <f ca="1">COUNTIF($M$19:$M48,"&gt;"&amp;$F49)</f>
        <v>1</v>
      </c>
      <c r="AA49" s="33"/>
      <c r="AB49" s="1"/>
    </row>
    <row r="50" spans="1:28" x14ac:dyDescent="0.3">
      <c r="A50" s="1">
        <f t="shared" ca="1" si="14"/>
        <v>31</v>
      </c>
      <c r="B50" s="44">
        <f t="shared" ca="1" si="15"/>
        <v>3</v>
      </c>
      <c r="C50" s="43">
        <f t="shared" ca="1" si="16"/>
        <v>2.0833333333333333E-3</v>
      </c>
      <c r="D50" s="43">
        <f t="shared" ca="1" si="12"/>
        <v>5</v>
      </c>
      <c r="E50" s="44">
        <f t="shared" ca="1" si="17"/>
        <v>3.472222222222222E-3</v>
      </c>
      <c r="F50" s="47">
        <f t="shared" ca="1" si="13"/>
        <v>0.41597222222222208</v>
      </c>
      <c r="G50" s="47">
        <f t="shared" ca="1" si="0"/>
        <v>0</v>
      </c>
      <c r="H50" s="48" t="str">
        <f t="shared" ca="1" si="1"/>
        <v/>
      </c>
      <c r="I50" s="49" t="str">
        <f t="shared" ca="1" si="2"/>
        <v/>
      </c>
      <c r="J50" s="47">
        <f ca="1">IF(ISTEXT($F50),"",MAX($P$19:P49,$F50))</f>
        <v>0.41597222222222208</v>
      </c>
      <c r="K50" s="47">
        <f ca="1">IF(ISTEXT($F50),"",MAX($R$19:R49,$F50))</f>
        <v>0.41597222222222208</v>
      </c>
      <c r="L50" s="47">
        <f t="shared" ca="1" si="18"/>
        <v>0.41597222222222208</v>
      </c>
      <c r="M50" s="49">
        <f t="shared" ca="1" si="3"/>
        <v>0.41597222222222208</v>
      </c>
      <c r="N50" s="43">
        <f t="shared" ca="1" si="4"/>
        <v>1</v>
      </c>
      <c r="O50" s="49">
        <f t="shared" ca="1" si="5"/>
        <v>0.41597222222222208</v>
      </c>
      <c r="P50" s="46">
        <f t="shared" ca="1" si="6"/>
        <v>0.41944444444444429</v>
      </c>
      <c r="Q50" s="49" t="str">
        <f t="shared" ca="1" si="7"/>
        <v/>
      </c>
      <c r="R50" s="47">
        <f t="shared" ca="1" si="8"/>
        <v>0.41597222222222208</v>
      </c>
      <c r="S50" s="49" t="str">
        <f t="shared" ca="1" si="9"/>
        <v/>
      </c>
      <c r="T50" s="46">
        <f t="shared" ca="1" si="10"/>
        <v>0.41527777777777763</v>
      </c>
      <c r="U50" s="49" t="str">
        <f t="shared" ca="1" si="19"/>
        <v/>
      </c>
      <c r="V50" s="49">
        <f t="shared" ca="1" si="20"/>
        <v>0.41597222222222208</v>
      </c>
      <c r="W50" s="49">
        <f t="shared" ca="1" si="21"/>
        <v>3.4722222222222099E-3</v>
      </c>
      <c r="X50" s="49">
        <f t="shared" ca="1" si="22"/>
        <v>3.472222222222222E-3</v>
      </c>
      <c r="Y50" s="49">
        <f t="shared" ca="1" si="11"/>
        <v>0.41944444444444429</v>
      </c>
      <c r="Z50" s="44">
        <f ca="1">COUNTIF($M$19:$M49,"&gt;"&amp;$F50)</f>
        <v>0</v>
      </c>
      <c r="AA50" s="33"/>
      <c r="AB50" s="1"/>
    </row>
    <row r="51" spans="1:28" x14ac:dyDescent="0.3">
      <c r="A51" s="1">
        <f t="shared" ca="1" si="14"/>
        <v>32</v>
      </c>
      <c r="B51" s="44">
        <f t="shared" ca="1" si="15"/>
        <v>3</v>
      </c>
      <c r="C51" s="43">
        <f t="shared" ca="1" si="16"/>
        <v>2.0833333333333333E-3</v>
      </c>
      <c r="D51" s="43">
        <f t="shared" ca="1" si="12"/>
        <v>10</v>
      </c>
      <c r="E51" s="44">
        <f t="shared" ca="1" si="17"/>
        <v>6.9444444444444441E-3</v>
      </c>
      <c r="F51" s="47">
        <f t="shared" ca="1" si="13"/>
        <v>0.4180555555555554</v>
      </c>
      <c r="G51" s="47">
        <f t="shared" ca="1" si="0"/>
        <v>0</v>
      </c>
      <c r="H51" s="48" t="str">
        <f t="shared" ca="1" si="1"/>
        <v/>
      </c>
      <c r="I51" s="49" t="str">
        <f t="shared" ca="1" si="2"/>
        <v/>
      </c>
      <c r="J51" s="47">
        <f ca="1">IF(ISTEXT($F51),"",MAX($P$19:P50,$F51))</f>
        <v>0.41944444444444429</v>
      </c>
      <c r="K51" s="47">
        <f ca="1">IF(ISTEXT($F51),"",MAX($R$19:R50,$F51))</f>
        <v>0.4180555555555554</v>
      </c>
      <c r="L51" s="47">
        <f t="shared" ca="1" si="18"/>
        <v>0.4180555555555554</v>
      </c>
      <c r="M51" s="49">
        <f t="shared" ca="1" si="3"/>
        <v>0.4180555555555554</v>
      </c>
      <c r="N51" s="43">
        <f t="shared" ca="1" si="4"/>
        <v>2</v>
      </c>
      <c r="O51" s="49" t="str">
        <f t="shared" ca="1" si="5"/>
        <v/>
      </c>
      <c r="P51" s="46">
        <f t="shared" ca="1" si="6"/>
        <v>0.41944444444444429</v>
      </c>
      <c r="Q51" s="49">
        <f t="shared" ca="1" si="7"/>
        <v>0.4180555555555554</v>
      </c>
      <c r="R51" s="47">
        <f t="shared" ca="1" si="8"/>
        <v>0.42499999999999982</v>
      </c>
      <c r="S51" s="49" t="str">
        <f t="shared" ca="1" si="9"/>
        <v/>
      </c>
      <c r="T51" s="46">
        <f t="shared" ca="1" si="10"/>
        <v>0.41527777777777763</v>
      </c>
      <c r="U51" s="49" t="str">
        <f t="shared" ca="1" si="19"/>
        <v/>
      </c>
      <c r="V51" s="49">
        <f t="shared" ca="1" si="20"/>
        <v>0.4180555555555554</v>
      </c>
      <c r="W51" s="49">
        <f t="shared" ca="1" si="21"/>
        <v>6.9444444444444198E-3</v>
      </c>
      <c r="X51" s="49">
        <f t="shared" ca="1" si="22"/>
        <v>6.9444444444444441E-3</v>
      </c>
      <c r="Y51" s="49">
        <f t="shared" ca="1" si="11"/>
        <v>0.42499999999999982</v>
      </c>
      <c r="Z51" s="44">
        <f ca="1">COUNTIF($M$19:$M50,"&gt;"&amp;$F51)</f>
        <v>0</v>
      </c>
      <c r="AA51" s="33"/>
      <c r="AB51" s="1"/>
    </row>
    <row r="52" spans="1:28" x14ac:dyDescent="0.3">
      <c r="A52" s="1">
        <f t="shared" ca="1" si="14"/>
        <v>33</v>
      </c>
      <c r="B52" s="44">
        <f t="shared" ca="1" si="15"/>
        <v>3</v>
      </c>
      <c r="C52" s="43">
        <f t="shared" ca="1" si="16"/>
        <v>2.0833333333333333E-3</v>
      </c>
      <c r="D52" s="43">
        <f t="shared" ref="D52:D69" ca="1" si="23">VLOOKUP(RAND(),SRVT,3)</f>
        <v>10</v>
      </c>
      <c r="E52" s="44">
        <f t="shared" ca="1" si="17"/>
        <v>6.9444444444444441E-3</v>
      </c>
      <c r="F52" s="47">
        <f t="shared" ca="1" si="13"/>
        <v>0.42013888888888873</v>
      </c>
      <c r="G52" s="47">
        <f t="shared" ref="G52:G69" ca="1" si="24">IF(ISTEXT(F52),"",M52-F52)</f>
        <v>0</v>
      </c>
      <c r="H52" s="48" t="str">
        <f t="shared" ref="H52:H69" ca="1" si="25">IF(G52&gt;(renegat/1440),"ушел","")</f>
        <v/>
      </c>
      <c r="I52" s="49" t="str">
        <f t="shared" ref="I52:I69" ca="1" si="26">IF(H52="ушел",F52+(renegat/1440),"")</f>
        <v/>
      </c>
      <c r="J52" s="47">
        <f ca="1">IF(ISTEXT($F52),"",MAX($P$19:P51,$F52))</f>
        <v>0.42013888888888873</v>
      </c>
      <c r="K52" s="47">
        <f ca="1">IF(ISTEXT($F52),"",MAX($R$19:R51,$F52))</f>
        <v>0.42499999999999982</v>
      </c>
      <c r="L52" s="47">
        <f t="shared" ca="1" si="18"/>
        <v>0.42013888888888873</v>
      </c>
      <c r="M52" s="49">
        <f t="shared" ref="M52:M69" ca="1" si="27">IF(ISTEXT(F52),"",MIN(J52:L52))</f>
        <v>0.42013888888888873</v>
      </c>
      <c r="N52" s="43">
        <f t="shared" ref="N52:N69" ca="1" si="28">IF(OR(ISTEXT(F52),H52="ушел"),"",MATCH(M52,J52:L52,0))</f>
        <v>1</v>
      </c>
      <c r="O52" s="49">
        <f t="shared" ref="O52:O69" ca="1" si="29">IF($N52=1,M52,"")</f>
        <v>0.42013888888888873</v>
      </c>
      <c r="P52" s="46">
        <f t="shared" ref="P52:P69" ca="1" si="30">IF($N52=1,O52+$E52,P51)</f>
        <v>0.42708333333333315</v>
      </c>
      <c r="Q52" s="49" t="str">
        <f t="shared" ref="Q52:Q69" ca="1" si="31">IF($N52=2,M52,"")</f>
        <v/>
      </c>
      <c r="R52" s="47">
        <f t="shared" ref="R52:R69" ca="1" si="32">IF($N52=2,Q52+$E52,R51)</f>
        <v>0.42499999999999982</v>
      </c>
      <c r="S52" s="49" t="str">
        <f t="shared" ref="S52:S69" ca="1" si="33">IF($N52=3,M52,"")</f>
        <v/>
      </c>
      <c r="T52" s="46">
        <f t="shared" ref="T52:T69" ca="1" si="34">IF($N52=3,S52+$E52,T51)</f>
        <v>0.41527777777777763</v>
      </c>
      <c r="U52" s="49" t="str">
        <f t="shared" ca="1" si="19"/>
        <v/>
      </c>
      <c r="V52" s="49">
        <f t="shared" ca="1" si="20"/>
        <v>0.42013888888888873</v>
      </c>
      <c r="W52" s="49">
        <f t="shared" ca="1" si="21"/>
        <v>6.9444444444444198E-3</v>
      </c>
      <c r="X52" s="49">
        <f t="shared" ca="1" si="22"/>
        <v>6.9444444444444441E-3</v>
      </c>
      <c r="Y52" s="49">
        <f t="shared" ref="Y52:Y69" ca="1" si="35">IF(H52="ушел",I52,CHOOSE(N52,P52,R52,T52))</f>
        <v>0.42708333333333315</v>
      </c>
      <c r="Z52" s="44">
        <f ca="1">COUNTIF($M$19:$M51,"&gt;"&amp;$F52)</f>
        <v>0</v>
      </c>
      <c r="AA52" s="33"/>
      <c r="AB52" s="1"/>
    </row>
    <row r="53" spans="1:28" x14ac:dyDescent="0.3">
      <c r="A53" s="1">
        <f t="shared" ca="1" si="14"/>
        <v>34</v>
      </c>
      <c r="B53" s="44">
        <f t="shared" ca="1" si="15"/>
        <v>2</v>
      </c>
      <c r="C53" s="43">
        <f t="shared" ca="1" si="16"/>
        <v>1.3888888888888889E-3</v>
      </c>
      <c r="D53" s="43">
        <f t="shared" ca="1" si="23"/>
        <v>3</v>
      </c>
      <c r="E53" s="44">
        <f t="shared" ca="1" si="17"/>
        <v>2.0833333333333333E-3</v>
      </c>
      <c r="F53" s="47">
        <f t="shared" ref="F53:F69" ca="1" si="36">IF(ISTEXT(F52),"",IF(F52+ C53&gt;=closed,"закрыто",F52+C53))</f>
        <v>0.42152777777777761</v>
      </c>
      <c r="G53" s="47">
        <f t="shared" ca="1" si="24"/>
        <v>0</v>
      </c>
      <c r="H53" s="48" t="str">
        <f t="shared" ca="1" si="25"/>
        <v/>
      </c>
      <c r="I53" s="49" t="str">
        <f t="shared" ca="1" si="26"/>
        <v/>
      </c>
      <c r="J53" s="47">
        <f ca="1">IF(ISTEXT($F53),"",MAX($P$19:P52,$F53))</f>
        <v>0.42708333333333315</v>
      </c>
      <c r="K53" s="47">
        <f ca="1">IF(ISTEXT($F53),"",MAX($R$19:R52,$F53))</f>
        <v>0.42499999999999982</v>
      </c>
      <c r="L53" s="47">
        <f t="shared" ca="1" si="18"/>
        <v>0.42152777777777761</v>
      </c>
      <c r="M53" s="49">
        <f t="shared" ca="1" si="27"/>
        <v>0.42152777777777761</v>
      </c>
      <c r="N53" s="43">
        <f t="shared" ca="1" si="28"/>
        <v>3</v>
      </c>
      <c r="O53" s="49" t="str">
        <f t="shared" ca="1" si="29"/>
        <v/>
      </c>
      <c r="P53" s="46">
        <f t="shared" ca="1" si="30"/>
        <v>0.42708333333333315</v>
      </c>
      <c r="Q53" s="49" t="str">
        <f t="shared" ca="1" si="31"/>
        <v/>
      </c>
      <c r="R53" s="47">
        <f t="shared" ca="1" si="32"/>
        <v>0.42499999999999982</v>
      </c>
      <c r="S53" s="49">
        <f t="shared" ca="1" si="33"/>
        <v>0.42152777777777761</v>
      </c>
      <c r="T53" s="46">
        <f t="shared" ca="1" si="34"/>
        <v>0.42361111111111094</v>
      </c>
      <c r="U53" s="49" t="str">
        <f t="shared" ca="1" si="19"/>
        <v/>
      </c>
      <c r="V53" s="49">
        <f t="shared" ca="1" si="20"/>
        <v>0.42152777777777761</v>
      </c>
      <c r="W53" s="49">
        <f t="shared" ca="1" si="21"/>
        <v>2.0833333333333259E-3</v>
      </c>
      <c r="X53" s="49">
        <f t="shared" ca="1" si="22"/>
        <v>2.0833333333333333E-3</v>
      </c>
      <c r="Y53" s="49">
        <f t="shared" ca="1" si="35"/>
        <v>0.42361111111111094</v>
      </c>
      <c r="Z53" s="44">
        <f ca="1">COUNTIF($M$19:$M52,"&gt;"&amp;$F53)</f>
        <v>0</v>
      </c>
      <c r="AA53" s="33"/>
      <c r="AB53" s="1"/>
    </row>
    <row r="54" spans="1:28" x14ac:dyDescent="0.3">
      <c r="A54" s="1">
        <f t="shared" ca="1" si="14"/>
        <v>35</v>
      </c>
      <c r="B54" s="44">
        <f t="shared" ca="1" si="15"/>
        <v>2</v>
      </c>
      <c r="C54" s="43">
        <f t="shared" ca="1" si="16"/>
        <v>1.3888888888888889E-3</v>
      </c>
      <c r="D54" s="43">
        <f t="shared" ca="1" si="23"/>
        <v>10</v>
      </c>
      <c r="E54" s="44">
        <f t="shared" ca="1" si="17"/>
        <v>6.9444444444444441E-3</v>
      </c>
      <c r="F54" s="47">
        <f t="shared" ca="1" si="36"/>
        <v>0.4229166666666665</v>
      </c>
      <c r="G54" s="47">
        <f t="shared" ca="1" si="24"/>
        <v>6.9444444444444198E-4</v>
      </c>
      <c r="H54" s="48" t="str">
        <f t="shared" ca="1" si="25"/>
        <v/>
      </c>
      <c r="I54" s="49" t="str">
        <f t="shared" ca="1" si="26"/>
        <v/>
      </c>
      <c r="J54" s="47">
        <f ca="1">IF(ISTEXT($F54),"",MAX($P$19:P53,$F54))</f>
        <v>0.42708333333333315</v>
      </c>
      <c r="K54" s="47">
        <f ca="1">IF(ISTEXT($F54),"",MAX($R$19:R53,$F54))</f>
        <v>0.42499999999999982</v>
      </c>
      <c r="L54" s="47">
        <f t="shared" ca="1" si="18"/>
        <v>0.42361111111111094</v>
      </c>
      <c r="M54" s="49">
        <f t="shared" ca="1" si="27"/>
        <v>0.42361111111111094</v>
      </c>
      <c r="N54" s="43">
        <f t="shared" ca="1" si="28"/>
        <v>3</v>
      </c>
      <c r="O54" s="49" t="str">
        <f t="shared" ca="1" si="29"/>
        <v/>
      </c>
      <c r="P54" s="46">
        <f t="shared" ca="1" si="30"/>
        <v>0.42708333333333315</v>
      </c>
      <c r="Q54" s="49" t="str">
        <f t="shared" ca="1" si="31"/>
        <v/>
      </c>
      <c r="R54" s="47">
        <f t="shared" ca="1" si="32"/>
        <v>0.42499999999999982</v>
      </c>
      <c r="S54" s="49">
        <f t="shared" ca="1" si="33"/>
        <v>0.42361111111111094</v>
      </c>
      <c r="T54" s="46">
        <f t="shared" ca="1" si="34"/>
        <v>0.43055555555555536</v>
      </c>
      <c r="U54" s="49" t="str">
        <f t="shared" ca="1" si="19"/>
        <v/>
      </c>
      <c r="V54" s="49">
        <f t="shared" ca="1" si="20"/>
        <v>0.42361111111111094</v>
      </c>
      <c r="W54" s="49">
        <f t="shared" ca="1" si="21"/>
        <v>7.6388888888888618E-3</v>
      </c>
      <c r="X54" s="49">
        <f t="shared" ca="1" si="22"/>
        <v>7.638888888888886E-3</v>
      </c>
      <c r="Y54" s="49">
        <f t="shared" ca="1" si="35"/>
        <v>0.43055555555555536</v>
      </c>
      <c r="Z54" s="44">
        <f ca="1">COUNTIF($M$19:$M53,"&gt;"&amp;$F54)</f>
        <v>0</v>
      </c>
      <c r="AA54" s="33"/>
      <c r="AB54" s="1"/>
    </row>
    <row r="55" spans="1:28" x14ac:dyDescent="0.3">
      <c r="A55" s="1">
        <f t="shared" ca="1" si="14"/>
        <v>36</v>
      </c>
      <c r="B55" s="44">
        <f t="shared" ca="1" si="15"/>
        <v>3</v>
      </c>
      <c r="C55" s="43">
        <f t="shared" ca="1" si="16"/>
        <v>2.0833333333333333E-3</v>
      </c>
      <c r="D55" s="43">
        <f t="shared" ca="1" si="23"/>
        <v>5</v>
      </c>
      <c r="E55" s="44">
        <f t="shared" ca="1" si="17"/>
        <v>3.472222222222222E-3</v>
      </c>
      <c r="F55" s="47">
        <f t="shared" ca="1" si="36"/>
        <v>0.42499999999999982</v>
      </c>
      <c r="G55" s="47">
        <f t="shared" ca="1" si="24"/>
        <v>0</v>
      </c>
      <c r="H55" s="48" t="str">
        <f t="shared" ca="1" si="25"/>
        <v/>
      </c>
      <c r="I55" s="49" t="str">
        <f t="shared" ca="1" si="26"/>
        <v/>
      </c>
      <c r="J55" s="47">
        <f ca="1">IF(ISTEXT($F55),"",MAX($P$19:P54,$F55))</f>
        <v>0.42708333333333315</v>
      </c>
      <c r="K55" s="47">
        <f ca="1">IF(ISTEXT($F55),"",MAX($R$19:R54,$F55))</f>
        <v>0.42499999999999982</v>
      </c>
      <c r="L55" s="47">
        <f t="shared" ca="1" si="18"/>
        <v>0.43055555555555536</v>
      </c>
      <c r="M55" s="49">
        <f t="shared" ca="1" si="27"/>
        <v>0.42499999999999982</v>
      </c>
      <c r="N55" s="43">
        <f t="shared" ca="1" si="28"/>
        <v>2</v>
      </c>
      <c r="O55" s="49" t="str">
        <f t="shared" ca="1" si="29"/>
        <v/>
      </c>
      <c r="P55" s="46">
        <f t="shared" ca="1" si="30"/>
        <v>0.42708333333333315</v>
      </c>
      <c r="Q55" s="49">
        <f t="shared" ca="1" si="31"/>
        <v>0.42499999999999982</v>
      </c>
      <c r="R55" s="47">
        <f t="shared" ca="1" si="32"/>
        <v>0.42847222222222203</v>
      </c>
      <c r="S55" s="49" t="str">
        <f t="shared" ca="1" si="33"/>
        <v/>
      </c>
      <c r="T55" s="46">
        <f t="shared" ca="1" si="34"/>
        <v>0.43055555555555536</v>
      </c>
      <c r="U55" s="49" t="str">
        <f t="shared" ca="1" si="19"/>
        <v/>
      </c>
      <c r="V55" s="49">
        <f t="shared" ca="1" si="20"/>
        <v>0.42499999999999982</v>
      </c>
      <c r="W55" s="49">
        <f t="shared" ca="1" si="21"/>
        <v>3.4722222222222099E-3</v>
      </c>
      <c r="X55" s="49">
        <f t="shared" ca="1" si="22"/>
        <v>3.472222222222222E-3</v>
      </c>
      <c r="Y55" s="49">
        <f t="shared" ca="1" si="35"/>
        <v>0.42847222222222203</v>
      </c>
      <c r="Z55" s="44">
        <f ca="1">COUNTIF($M$19:$M54,"&gt;"&amp;$F55)</f>
        <v>0</v>
      </c>
      <c r="AA55" s="33"/>
      <c r="AB55" s="1"/>
    </row>
    <row r="56" spans="1:28" x14ac:dyDescent="0.3">
      <c r="A56" s="1">
        <f t="shared" ca="1" si="14"/>
        <v>37</v>
      </c>
      <c r="B56" s="44">
        <f t="shared" ca="1" si="15"/>
        <v>2</v>
      </c>
      <c r="C56" s="43">
        <f t="shared" ca="1" si="16"/>
        <v>1.3888888888888889E-3</v>
      </c>
      <c r="D56" s="43">
        <f t="shared" ca="1" si="23"/>
        <v>5</v>
      </c>
      <c r="E56" s="44">
        <f t="shared" ca="1" si="17"/>
        <v>3.472222222222222E-3</v>
      </c>
      <c r="F56" s="47">
        <f t="shared" ca="1" si="36"/>
        <v>0.42638888888888871</v>
      </c>
      <c r="G56" s="47">
        <f t="shared" ca="1" si="24"/>
        <v>6.9444444444444198E-4</v>
      </c>
      <c r="H56" s="48" t="str">
        <f t="shared" ca="1" si="25"/>
        <v/>
      </c>
      <c r="I56" s="49" t="str">
        <f t="shared" ca="1" si="26"/>
        <v/>
      </c>
      <c r="J56" s="47">
        <f ca="1">IF(ISTEXT($F56),"",MAX($P$19:P55,$F56))</f>
        <v>0.42708333333333315</v>
      </c>
      <c r="K56" s="47">
        <f ca="1">IF(ISTEXT($F56),"",MAX($R$19:R55,$F56))</f>
        <v>0.42847222222222203</v>
      </c>
      <c r="L56" s="47">
        <f t="shared" ca="1" si="18"/>
        <v>0.43055555555555536</v>
      </c>
      <c r="M56" s="49">
        <f t="shared" ca="1" si="27"/>
        <v>0.42708333333333315</v>
      </c>
      <c r="N56" s="43">
        <f t="shared" ca="1" si="28"/>
        <v>1</v>
      </c>
      <c r="O56" s="49">
        <f t="shared" ca="1" si="29"/>
        <v>0.42708333333333315</v>
      </c>
      <c r="P56" s="46">
        <f t="shared" ca="1" si="30"/>
        <v>0.43055555555555536</v>
      </c>
      <c r="Q56" s="49" t="str">
        <f t="shared" ca="1" si="31"/>
        <v/>
      </c>
      <c r="R56" s="47">
        <f t="shared" ca="1" si="32"/>
        <v>0.42847222222222203</v>
      </c>
      <c r="S56" s="49" t="str">
        <f t="shared" ca="1" si="33"/>
        <v/>
      </c>
      <c r="T56" s="46">
        <f t="shared" ca="1" si="34"/>
        <v>0.43055555555555536</v>
      </c>
      <c r="U56" s="49" t="str">
        <f t="shared" ca="1" si="19"/>
        <v/>
      </c>
      <c r="V56" s="49">
        <f t="shared" ca="1" si="20"/>
        <v>0.42708333333333315</v>
      </c>
      <c r="W56" s="49">
        <f t="shared" ca="1" si="21"/>
        <v>4.1666666666666519E-3</v>
      </c>
      <c r="X56" s="49">
        <f t="shared" ca="1" si="22"/>
        <v>4.166666666666664E-3</v>
      </c>
      <c r="Y56" s="49">
        <f t="shared" ca="1" si="35"/>
        <v>0.43055555555555536</v>
      </c>
      <c r="Z56" s="44">
        <f ca="1">COUNTIF($M$19:$M55,"&gt;"&amp;$F56)</f>
        <v>0</v>
      </c>
      <c r="AA56" s="33"/>
      <c r="AB56" s="1"/>
    </row>
    <row r="57" spans="1:28" x14ac:dyDescent="0.3">
      <c r="A57" s="1">
        <f t="shared" ca="1" si="14"/>
        <v>38</v>
      </c>
      <c r="B57" s="44">
        <f t="shared" ca="1" si="15"/>
        <v>3</v>
      </c>
      <c r="C57" s="43">
        <f t="shared" ca="1" si="16"/>
        <v>2.0833333333333333E-3</v>
      </c>
      <c r="D57" s="43">
        <f t="shared" ca="1" si="23"/>
        <v>5</v>
      </c>
      <c r="E57" s="44">
        <f t="shared" ca="1" si="17"/>
        <v>3.472222222222222E-3</v>
      </c>
      <c r="F57" s="47">
        <f t="shared" ca="1" si="36"/>
        <v>0.42847222222222203</v>
      </c>
      <c r="G57" s="47">
        <f t="shared" ca="1" si="24"/>
        <v>0</v>
      </c>
      <c r="H57" s="48" t="str">
        <f t="shared" ca="1" si="25"/>
        <v/>
      </c>
      <c r="I57" s="49" t="str">
        <f t="shared" ca="1" si="26"/>
        <v/>
      </c>
      <c r="J57" s="47">
        <f ca="1">IF(ISTEXT($F57),"",MAX($P$19:P56,$F57))</f>
        <v>0.43055555555555536</v>
      </c>
      <c r="K57" s="47">
        <f ca="1">IF(ISTEXT($F57),"",MAX($R$19:R56,$F57))</f>
        <v>0.42847222222222203</v>
      </c>
      <c r="L57" s="47">
        <f t="shared" ca="1" si="18"/>
        <v>0.43055555555555536</v>
      </c>
      <c r="M57" s="49">
        <f t="shared" ca="1" si="27"/>
        <v>0.42847222222222203</v>
      </c>
      <c r="N57" s="43">
        <f t="shared" ca="1" si="28"/>
        <v>2</v>
      </c>
      <c r="O57" s="49" t="str">
        <f t="shared" ca="1" si="29"/>
        <v/>
      </c>
      <c r="P57" s="46">
        <f t="shared" ca="1" si="30"/>
        <v>0.43055555555555536</v>
      </c>
      <c r="Q57" s="49">
        <f t="shared" ca="1" si="31"/>
        <v>0.42847222222222203</v>
      </c>
      <c r="R57" s="47">
        <f t="shared" ca="1" si="32"/>
        <v>0.43194444444444424</v>
      </c>
      <c r="S57" s="49" t="str">
        <f t="shared" ca="1" si="33"/>
        <v/>
      </c>
      <c r="T57" s="46">
        <f t="shared" ca="1" si="34"/>
        <v>0.43055555555555536</v>
      </c>
      <c r="U57" s="49" t="str">
        <f t="shared" ca="1" si="19"/>
        <v/>
      </c>
      <c r="V57" s="49">
        <f t="shared" ca="1" si="20"/>
        <v>0.42847222222222203</v>
      </c>
      <c r="W57" s="49">
        <f t="shared" ca="1" si="21"/>
        <v>3.4722222222222099E-3</v>
      </c>
      <c r="X57" s="49">
        <f t="shared" ca="1" si="22"/>
        <v>3.472222222222222E-3</v>
      </c>
      <c r="Y57" s="49">
        <f t="shared" ca="1" si="35"/>
        <v>0.43194444444444424</v>
      </c>
      <c r="Z57" s="44">
        <f ca="1">COUNTIF($M$19:$M56,"&gt;"&amp;$F57)</f>
        <v>0</v>
      </c>
      <c r="AA57" s="33"/>
      <c r="AB57" s="1"/>
    </row>
    <row r="58" spans="1:28" x14ac:dyDescent="0.3">
      <c r="A58" s="1">
        <f t="shared" ca="1" si="14"/>
        <v>39</v>
      </c>
      <c r="B58" s="44">
        <f t="shared" ca="1" si="15"/>
        <v>3</v>
      </c>
      <c r="C58" s="43">
        <f t="shared" ca="1" si="16"/>
        <v>2.0833333333333333E-3</v>
      </c>
      <c r="D58" s="43">
        <f t="shared" ca="1" si="23"/>
        <v>5</v>
      </c>
      <c r="E58" s="44">
        <f t="shared" ca="1" si="17"/>
        <v>3.472222222222222E-3</v>
      </c>
      <c r="F58" s="47">
        <f t="shared" ca="1" si="36"/>
        <v>0.43055555555555536</v>
      </c>
      <c r="G58" s="47">
        <f t="shared" ca="1" si="24"/>
        <v>0</v>
      </c>
      <c r="H58" s="48" t="str">
        <f t="shared" ca="1" si="25"/>
        <v/>
      </c>
      <c r="I58" s="49" t="str">
        <f t="shared" ca="1" si="26"/>
        <v/>
      </c>
      <c r="J58" s="47">
        <f ca="1">IF(ISTEXT($F58),"",MAX($P$19:P57,$F58))</f>
        <v>0.43055555555555536</v>
      </c>
      <c r="K58" s="47">
        <f ca="1">IF(ISTEXT($F58),"",MAX($R$19:R57,$F58))</f>
        <v>0.43194444444444424</v>
      </c>
      <c r="L58" s="47">
        <f t="shared" ca="1" si="18"/>
        <v>0.43055555555555536</v>
      </c>
      <c r="M58" s="49">
        <f t="shared" ca="1" si="27"/>
        <v>0.43055555555555536</v>
      </c>
      <c r="N58" s="43">
        <f t="shared" ca="1" si="28"/>
        <v>1</v>
      </c>
      <c r="O58" s="49">
        <f t="shared" ca="1" si="29"/>
        <v>0.43055555555555536</v>
      </c>
      <c r="P58" s="46">
        <f t="shared" ca="1" si="30"/>
        <v>0.43402777777777757</v>
      </c>
      <c r="Q58" s="49" t="str">
        <f t="shared" ca="1" si="31"/>
        <v/>
      </c>
      <c r="R58" s="47">
        <f t="shared" ca="1" si="32"/>
        <v>0.43194444444444424</v>
      </c>
      <c r="S58" s="49" t="str">
        <f t="shared" ca="1" si="33"/>
        <v/>
      </c>
      <c r="T58" s="46">
        <f t="shared" ca="1" si="34"/>
        <v>0.43055555555555536</v>
      </c>
      <c r="U58" s="49" t="str">
        <f t="shared" ca="1" si="19"/>
        <v/>
      </c>
      <c r="V58" s="49">
        <f t="shared" ca="1" si="20"/>
        <v>0.43055555555555536</v>
      </c>
      <c r="W58" s="49">
        <f t="shared" ca="1" si="21"/>
        <v>3.4722222222222099E-3</v>
      </c>
      <c r="X58" s="49">
        <f t="shared" ca="1" si="22"/>
        <v>3.472222222222222E-3</v>
      </c>
      <c r="Y58" s="49">
        <f t="shared" ca="1" si="35"/>
        <v>0.43402777777777757</v>
      </c>
      <c r="Z58" s="44">
        <f ca="1">COUNTIF($M$19:$M57,"&gt;"&amp;$F58)</f>
        <v>0</v>
      </c>
      <c r="AA58" s="33"/>
      <c r="AB58" s="1"/>
    </row>
    <row r="59" spans="1:28" x14ac:dyDescent="0.3">
      <c r="A59" s="1">
        <f t="shared" ca="1" si="14"/>
        <v>40</v>
      </c>
      <c r="B59" s="44">
        <f t="shared" ca="1" si="15"/>
        <v>2</v>
      </c>
      <c r="C59" s="43">
        <f t="shared" ca="1" si="16"/>
        <v>1.3888888888888889E-3</v>
      </c>
      <c r="D59" s="43">
        <f t="shared" ca="1" si="23"/>
        <v>10</v>
      </c>
      <c r="E59" s="44">
        <f t="shared" ca="1" si="17"/>
        <v>6.9444444444444441E-3</v>
      </c>
      <c r="F59" s="47">
        <f t="shared" ca="1" si="36"/>
        <v>0.43194444444444424</v>
      </c>
      <c r="G59" s="47">
        <f t="shared" ca="1" si="24"/>
        <v>0</v>
      </c>
      <c r="H59" s="48" t="str">
        <f t="shared" ca="1" si="25"/>
        <v/>
      </c>
      <c r="I59" s="49" t="str">
        <f t="shared" ca="1" si="26"/>
        <v/>
      </c>
      <c r="J59" s="47">
        <f ca="1">IF(ISTEXT($F59),"",MAX($P$19:P58,$F59))</f>
        <v>0.43402777777777757</v>
      </c>
      <c r="K59" s="47">
        <f ca="1">IF(ISTEXT($F59),"",MAX($R$19:R58,$F59))</f>
        <v>0.43194444444444424</v>
      </c>
      <c r="L59" s="47">
        <f t="shared" ca="1" si="18"/>
        <v>0.43194444444444424</v>
      </c>
      <c r="M59" s="49">
        <f t="shared" ca="1" si="27"/>
        <v>0.43194444444444424</v>
      </c>
      <c r="N59" s="43">
        <f t="shared" ca="1" si="28"/>
        <v>2</v>
      </c>
      <c r="O59" s="49" t="str">
        <f t="shared" ca="1" si="29"/>
        <v/>
      </c>
      <c r="P59" s="46">
        <f t="shared" ca="1" si="30"/>
        <v>0.43402777777777757</v>
      </c>
      <c r="Q59" s="49">
        <f t="shared" ca="1" si="31"/>
        <v>0.43194444444444424</v>
      </c>
      <c r="R59" s="47">
        <f t="shared" ca="1" si="32"/>
        <v>0.43888888888888866</v>
      </c>
      <c r="S59" s="49" t="str">
        <f t="shared" ca="1" si="33"/>
        <v/>
      </c>
      <c r="T59" s="46">
        <f t="shared" ca="1" si="34"/>
        <v>0.43055555555555536</v>
      </c>
      <c r="U59" s="49" t="str">
        <f t="shared" ca="1" si="19"/>
        <v/>
      </c>
      <c r="V59" s="49">
        <f t="shared" ca="1" si="20"/>
        <v>0.43194444444444424</v>
      </c>
      <c r="W59" s="49">
        <f t="shared" ca="1" si="21"/>
        <v>6.9444444444444198E-3</v>
      </c>
      <c r="X59" s="49">
        <f t="shared" ca="1" si="22"/>
        <v>6.9444444444444441E-3</v>
      </c>
      <c r="Y59" s="49">
        <f t="shared" ca="1" si="35"/>
        <v>0.43888888888888866</v>
      </c>
      <c r="Z59" s="44">
        <f ca="1">COUNTIF($M$19:$M58,"&gt;"&amp;$F59)</f>
        <v>0</v>
      </c>
      <c r="AA59" s="33"/>
      <c r="AB59" s="1"/>
    </row>
    <row r="60" spans="1:28" x14ac:dyDescent="0.3">
      <c r="A60" s="1">
        <f t="shared" ca="1" si="14"/>
        <v>41</v>
      </c>
      <c r="B60" s="44">
        <f t="shared" ca="1" si="15"/>
        <v>3</v>
      </c>
      <c r="C60" s="43">
        <f t="shared" ca="1" si="16"/>
        <v>2.0833333333333333E-3</v>
      </c>
      <c r="D60" s="43">
        <f t="shared" ca="1" si="23"/>
        <v>10</v>
      </c>
      <c r="E60" s="44">
        <f t="shared" ca="1" si="17"/>
        <v>6.9444444444444441E-3</v>
      </c>
      <c r="F60" s="47">
        <f t="shared" ca="1" si="36"/>
        <v>0.43402777777777757</v>
      </c>
      <c r="G60" s="47">
        <f t="shared" ca="1" si="24"/>
        <v>0</v>
      </c>
      <c r="H60" s="48" t="str">
        <f t="shared" ca="1" si="25"/>
        <v/>
      </c>
      <c r="I60" s="49" t="str">
        <f t="shared" ca="1" si="26"/>
        <v/>
      </c>
      <c r="J60" s="47">
        <f ca="1">IF(ISTEXT($F60),"",MAX($P$19:P59,$F60))</f>
        <v>0.43402777777777757</v>
      </c>
      <c r="K60" s="47">
        <f ca="1">IF(ISTEXT($F60),"",MAX($R$19:R59,$F60))</f>
        <v>0.43888888888888866</v>
      </c>
      <c r="L60" s="47">
        <f t="shared" ca="1" si="18"/>
        <v>0.43402777777777757</v>
      </c>
      <c r="M60" s="49">
        <f t="shared" ca="1" si="27"/>
        <v>0.43402777777777757</v>
      </c>
      <c r="N60" s="43">
        <f t="shared" ca="1" si="28"/>
        <v>1</v>
      </c>
      <c r="O60" s="49">
        <f t="shared" ca="1" si="29"/>
        <v>0.43402777777777757</v>
      </c>
      <c r="P60" s="46">
        <f t="shared" ca="1" si="30"/>
        <v>0.44097222222222199</v>
      </c>
      <c r="Q60" s="49" t="str">
        <f t="shared" ca="1" si="31"/>
        <v/>
      </c>
      <c r="R60" s="47">
        <f t="shared" ca="1" si="32"/>
        <v>0.43888888888888866</v>
      </c>
      <c r="S60" s="49" t="str">
        <f t="shared" ca="1" si="33"/>
        <v/>
      </c>
      <c r="T60" s="46">
        <f t="shared" ca="1" si="34"/>
        <v>0.43055555555555536</v>
      </c>
      <c r="U60" s="49" t="str">
        <f t="shared" ca="1" si="19"/>
        <v/>
      </c>
      <c r="V60" s="49">
        <f t="shared" ca="1" si="20"/>
        <v>0.43402777777777757</v>
      </c>
      <c r="W60" s="49">
        <f t="shared" ca="1" si="21"/>
        <v>6.9444444444444198E-3</v>
      </c>
      <c r="X60" s="49">
        <f t="shared" ca="1" si="22"/>
        <v>6.9444444444444441E-3</v>
      </c>
      <c r="Y60" s="49">
        <f t="shared" ca="1" si="35"/>
        <v>0.44097222222222199</v>
      </c>
      <c r="Z60" s="44">
        <f ca="1">COUNTIF($M$19:$M59,"&gt;"&amp;$F60)</f>
        <v>0</v>
      </c>
      <c r="AA60" s="33"/>
      <c r="AB60" s="1"/>
    </row>
    <row r="61" spans="1:28" x14ac:dyDescent="0.3">
      <c r="A61" s="1">
        <f t="shared" ca="1" si="14"/>
        <v>42</v>
      </c>
      <c r="B61" s="44">
        <f t="shared" ca="1" si="15"/>
        <v>3</v>
      </c>
      <c r="C61" s="43">
        <f t="shared" ca="1" si="16"/>
        <v>2.0833333333333333E-3</v>
      </c>
      <c r="D61" s="43">
        <f t="shared" ca="1" si="23"/>
        <v>10</v>
      </c>
      <c r="E61" s="44">
        <f t="shared" ca="1" si="17"/>
        <v>6.9444444444444441E-3</v>
      </c>
      <c r="F61" s="47">
        <f t="shared" ca="1" si="36"/>
        <v>0.43611111111111089</v>
      </c>
      <c r="G61" s="47">
        <f t="shared" ca="1" si="24"/>
        <v>0</v>
      </c>
      <c r="H61" s="48" t="str">
        <f t="shared" ca="1" si="25"/>
        <v/>
      </c>
      <c r="I61" s="49" t="str">
        <f t="shared" ca="1" si="26"/>
        <v/>
      </c>
      <c r="J61" s="47">
        <f ca="1">IF(ISTEXT($F61),"",MAX($P$19:P60,$F61))</f>
        <v>0.44097222222222199</v>
      </c>
      <c r="K61" s="47">
        <f ca="1">IF(ISTEXT($F61),"",MAX($R$19:R60,$F61))</f>
        <v>0.43888888888888866</v>
      </c>
      <c r="L61" s="47">
        <f t="shared" ca="1" si="18"/>
        <v>0.43611111111111089</v>
      </c>
      <c r="M61" s="49">
        <f t="shared" ca="1" si="27"/>
        <v>0.43611111111111089</v>
      </c>
      <c r="N61" s="43">
        <f t="shared" ca="1" si="28"/>
        <v>3</v>
      </c>
      <c r="O61" s="49" t="str">
        <f t="shared" ca="1" si="29"/>
        <v/>
      </c>
      <c r="P61" s="46">
        <f t="shared" ca="1" si="30"/>
        <v>0.44097222222222199</v>
      </c>
      <c r="Q61" s="49" t="str">
        <f t="shared" ca="1" si="31"/>
        <v/>
      </c>
      <c r="R61" s="47">
        <f t="shared" ca="1" si="32"/>
        <v>0.43888888888888866</v>
      </c>
      <c r="S61" s="49">
        <f t="shared" ca="1" si="33"/>
        <v>0.43611111111111089</v>
      </c>
      <c r="T61" s="46">
        <f t="shared" ca="1" si="34"/>
        <v>0.44305555555555531</v>
      </c>
      <c r="U61" s="49" t="str">
        <f t="shared" ca="1" si="19"/>
        <v/>
      </c>
      <c r="V61" s="49">
        <f t="shared" ca="1" si="20"/>
        <v>0.43611111111111089</v>
      </c>
      <c r="W61" s="49">
        <f t="shared" ca="1" si="21"/>
        <v>6.9444444444444198E-3</v>
      </c>
      <c r="X61" s="49">
        <f t="shared" ca="1" si="22"/>
        <v>6.9444444444444441E-3</v>
      </c>
      <c r="Y61" s="49">
        <f t="shared" ca="1" si="35"/>
        <v>0.44305555555555531</v>
      </c>
      <c r="Z61" s="44">
        <f ca="1">COUNTIF($M$19:$M60,"&gt;"&amp;$F61)</f>
        <v>0</v>
      </c>
      <c r="AA61" s="33"/>
      <c r="AB61" s="1"/>
    </row>
    <row r="62" spans="1:28" x14ac:dyDescent="0.3">
      <c r="A62" s="1">
        <f t="shared" ca="1" si="14"/>
        <v>43</v>
      </c>
      <c r="B62" s="44">
        <f t="shared" ca="1" si="15"/>
        <v>3</v>
      </c>
      <c r="C62" s="43">
        <f t="shared" ca="1" si="16"/>
        <v>2.0833333333333333E-3</v>
      </c>
      <c r="D62" s="43">
        <f t="shared" ca="1" si="23"/>
        <v>3</v>
      </c>
      <c r="E62" s="44">
        <f t="shared" ca="1" si="17"/>
        <v>2.0833333333333333E-3</v>
      </c>
      <c r="F62" s="47">
        <f t="shared" ca="1" si="36"/>
        <v>0.43819444444444422</v>
      </c>
      <c r="G62" s="47">
        <f t="shared" ca="1" si="24"/>
        <v>6.9444444444444198E-4</v>
      </c>
      <c r="H62" s="48" t="str">
        <f t="shared" ca="1" si="25"/>
        <v/>
      </c>
      <c r="I62" s="49" t="str">
        <f t="shared" ca="1" si="26"/>
        <v/>
      </c>
      <c r="J62" s="47">
        <f ca="1">IF(ISTEXT($F62),"",MAX($P$19:P61,$F62))</f>
        <v>0.44097222222222199</v>
      </c>
      <c r="K62" s="47">
        <f ca="1">IF(ISTEXT($F62),"",MAX($R$19:R61,$F62))</f>
        <v>0.43888888888888866</v>
      </c>
      <c r="L62" s="47">
        <f t="shared" ca="1" si="18"/>
        <v>0.44305555555555531</v>
      </c>
      <c r="M62" s="49">
        <f t="shared" ca="1" si="27"/>
        <v>0.43888888888888866</v>
      </c>
      <c r="N62" s="43">
        <f t="shared" ca="1" si="28"/>
        <v>2</v>
      </c>
      <c r="O62" s="49" t="str">
        <f t="shared" ca="1" si="29"/>
        <v/>
      </c>
      <c r="P62" s="46">
        <f t="shared" ca="1" si="30"/>
        <v>0.44097222222222199</v>
      </c>
      <c r="Q62" s="49">
        <f t="shared" ca="1" si="31"/>
        <v>0.43888888888888866</v>
      </c>
      <c r="R62" s="47">
        <f t="shared" ca="1" si="32"/>
        <v>0.44097222222222199</v>
      </c>
      <c r="S62" s="49" t="str">
        <f t="shared" ca="1" si="33"/>
        <v/>
      </c>
      <c r="T62" s="46">
        <f t="shared" ca="1" si="34"/>
        <v>0.44305555555555531</v>
      </c>
      <c r="U62" s="49" t="str">
        <f t="shared" ca="1" si="19"/>
        <v/>
      </c>
      <c r="V62" s="49">
        <f t="shared" ca="1" si="20"/>
        <v>0.43888888888888866</v>
      </c>
      <c r="W62" s="49">
        <f t="shared" ca="1" si="21"/>
        <v>2.7777777777777679E-3</v>
      </c>
      <c r="X62" s="49">
        <f t="shared" ca="1" si="22"/>
        <v>2.7777777777777753E-3</v>
      </c>
      <c r="Y62" s="49">
        <f t="shared" ca="1" si="35"/>
        <v>0.44097222222222199</v>
      </c>
      <c r="Z62" s="44">
        <f ca="1">COUNTIF($M$19:$M61,"&gt;"&amp;$F62)</f>
        <v>0</v>
      </c>
      <c r="AA62" s="33"/>
      <c r="AB62" s="1"/>
    </row>
    <row r="63" spans="1:28" x14ac:dyDescent="0.3">
      <c r="A63" s="1">
        <f t="shared" ca="1" si="14"/>
        <v>44</v>
      </c>
      <c r="B63" s="44">
        <f t="shared" ca="1" si="15"/>
        <v>1</v>
      </c>
      <c r="C63" s="43">
        <f t="shared" ca="1" si="16"/>
        <v>6.9444444444444447E-4</v>
      </c>
      <c r="D63" s="43">
        <f t="shared" ca="1" si="23"/>
        <v>10</v>
      </c>
      <c r="E63" s="44">
        <f t="shared" ca="1" si="17"/>
        <v>6.9444444444444441E-3</v>
      </c>
      <c r="F63" s="47">
        <f t="shared" ca="1" si="36"/>
        <v>0.43888888888888866</v>
      </c>
      <c r="G63" s="47">
        <f t="shared" ca="1" si="24"/>
        <v>2.0833333333333259E-3</v>
      </c>
      <c r="H63" s="48" t="str">
        <f t="shared" ca="1" si="25"/>
        <v/>
      </c>
      <c r="I63" s="49" t="str">
        <f t="shared" ca="1" si="26"/>
        <v/>
      </c>
      <c r="J63" s="47">
        <f ca="1">IF(ISTEXT($F63),"",MAX($P$19:P62,$F63))</f>
        <v>0.44097222222222199</v>
      </c>
      <c r="K63" s="47">
        <f ca="1">IF(ISTEXT($F63),"",MAX($R$19:R62,$F63))</f>
        <v>0.44097222222222199</v>
      </c>
      <c r="L63" s="47">
        <f t="shared" ca="1" si="18"/>
        <v>0.44305555555555531</v>
      </c>
      <c r="M63" s="49">
        <f t="shared" ca="1" si="27"/>
        <v>0.44097222222222199</v>
      </c>
      <c r="N63" s="43">
        <f t="shared" ca="1" si="28"/>
        <v>1</v>
      </c>
      <c r="O63" s="49">
        <f t="shared" ca="1" si="29"/>
        <v>0.44097222222222199</v>
      </c>
      <c r="P63" s="46">
        <f t="shared" ca="1" si="30"/>
        <v>0.44791666666666641</v>
      </c>
      <c r="Q63" s="49" t="str">
        <f t="shared" ca="1" si="31"/>
        <v/>
      </c>
      <c r="R63" s="47">
        <f t="shared" ca="1" si="32"/>
        <v>0.44097222222222199</v>
      </c>
      <c r="S63" s="49" t="str">
        <f t="shared" ca="1" si="33"/>
        <v/>
      </c>
      <c r="T63" s="46">
        <f t="shared" ca="1" si="34"/>
        <v>0.44305555555555531</v>
      </c>
      <c r="U63" s="49" t="str">
        <f t="shared" ca="1" si="19"/>
        <v/>
      </c>
      <c r="V63" s="49">
        <f t="shared" ca="1" si="20"/>
        <v>0.44097222222222199</v>
      </c>
      <c r="W63" s="49">
        <f t="shared" ca="1" si="21"/>
        <v>9.0277777777777457E-3</v>
      </c>
      <c r="X63" s="49">
        <f t="shared" ca="1" si="22"/>
        <v>9.02777777777777E-3</v>
      </c>
      <c r="Y63" s="49">
        <f t="shared" ca="1" si="35"/>
        <v>0.44791666666666641</v>
      </c>
      <c r="Z63" s="44">
        <f ca="1">COUNTIF($M$19:$M62,"&gt;"&amp;$F63)</f>
        <v>0</v>
      </c>
      <c r="AA63" s="33"/>
      <c r="AB63" s="1"/>
    </row>
    <row r="64" spans="1:28" x14ac:dyDescent="0.3">
      <c r="A64" s="1">
        <f t="shared" ca="1" si="14"/>
        <v>45</v>
      </c>
      <c r="B64" s="44">
        <f t="shared" ca="1" si="15"/>
        <v>3</v>
      </c>
      <c r="C64" s="43">
        <f t="shared" ca="1" si="16"/>
        <v>2.0833333333333333E-3</v>
      </c>
      <c r="D64" s="43">
        <f t="shared" ca="1" si="23"/>
        <v>3</v>
      </c>
      <c r="E64" s="44">
        <f t="shared" ca="1" si="17"/>
        <v>2.0833333333333333E-3</v>
      </c>
      <c r="F64" s="47">
        <f t="shared" ca="1" si="36"/>
        <v>0.44097222222222199</v>
      </c>
      <c r="G64" s="47">
        <f t="shared" ca="1" si="24"/>
        <v>0</v>
      </c>
      <c r="H64" s="48" t="str">
        <f t="shared" ca="1" si="25"/>
        <v/>
      </c>
      <c r="I64" s="49" t="str">
        <f t="shared" ca="1" si="26"/>
        <v/>
      </c>
      <c r="J64" s="47">
        <f ca="1">IF(ISTEXT($F64),"",MAX($P$19:P63,$F64))</f>
        <v>0.44791666666666641</v>
      </c>
      <c r="K64" s="47">
        <f ca="1">IF(ISTEXT($F64),"",MAX($R$19:R63,$F64))</f>
        <v>0.44097222222222199</v>
      </c>
      <c r="L64" s="47">
        <f t="shared" ca="1" si="18"/>
        <v>0.44305555555555531</v>
      </c>
      <c r="M64" s="49">
        <f t="shared" ca="1" si="27"/>
        <v>0.44097222222222199</v>
      </c>
      <c r="N64" s="43">
        <f t="shared" ca="1" si="28"/>
        <v>2</v>
      </c>
      <c r="O64" s="49" t="str">
        <f t="shared" ca="1" si="29"/>
        <v/>
      </c>
      <c r="P64" s="46">
        <f t="shared" ca="1" si="30"/>
        <v>0.44791666666666641</v>
      </c>
      <c r="Q64" s="49">
        <f t="shared" ca="1" si="31"/>
        <v>0.44097222222222199</v>
      </c>
      <c r="R64" s="47">
        <f t="shared" ca="1" si="32"/>
        <v>0.44305555555555531</v>
      </c>
      <c r="S64" s="49" t="str">
        <f t="shared" ca="1" si="33"/>
        <v/>
      </c>
      <c r="T64" s="46">
        <f t="shared" ca="1" si="34"/>
        <v>0.44305555555555531</v>
      </c>
      <c r="U64" s="49" t="str">
        <f t="shared" ca="1" si="19"/>
        <v/>
      </c>
      <c r="V64" s="49">
        <f t="shared" ca="1" si="20"/>
        <v>0.44097222222222199</v>
      </c>
      <c r="W64" s="49">
        <f t="shared" ca="1" si="21"/>
        <v>2.0833333333333259E-3</v>
      </c>
      <c r="X64" s="49">
        <f t="shared" ca="1" si="22"/>
        <v>2.0833333333333333E-3</v>
      </c>
      <c r="Y64" s="49">
        <f t="shared" ca="1" si="35"/>
        <v>0.44305555555555531</v>
      </c>
      <c r="Z64" s="44">
        <f ca="1">COUNTIF($M$19:$M63,"&gt;"&amp;$F64)</f>
        <v>0</v>
      </c>
      <c r="AA64" s="33"/>
      <c r="AB64" s="1"/>
    </row>
    <row r="65" spans="1:28" x14ac:dyDescent="0.3">
      <c r="A65" s="1">
        <f t="shared" ca="1" si="14"/>
        <v>46</v>
      </c>
      <c r="B65" s="44">
        <f t="shared" ca="1" si="15"/>
        <v>1</v>
      </c>
      <c r="C65" s="43">
        <f t="shared" ca="1" si="16"/>
        <v>6.9444444444444447E-4</v>
      </c>
      <c r="D65" s="43">
        <f t="shared" ca="1" si="23"/>
        <v>3</v>
      </c>
      <c r="E65" s="44">
        <f t="shared" ca="1" si="17"/>
        <v>2.0833333333333333E-3</v>
      </c>
      <c r="F65" s="47">
        <f t="shared" ca="1" si="36"/>
        <v>0.44166666666666643</v>
      </c>
      <c r="G65" s="47">
        <f t="shared" ca="1" si="24"/>
        <v>1.388888888888884E-3</v>
      </c>
      <c r="H65" s="48" t="str">
        <f t="shared" ca="1" si="25"/>
        <v/>
      </c>
      <c r="I65" s="49" t="str">
        <f t="shared" ca="1" si="26"/>
        <v/>
      </c>
      <c r="J65" s="47">
        <f ca="1">IF(ISTEXT($F65),"",MAX($P$19:P64,$F65))</f>
        <v>0.44791666666666641</v>
      </c>
      <c r="K65" s="47">
        <f ca="1">IF(ISTEXT($F65),"",MAX($R$19:R64,$F65))</f>
        <v>0.44305555555555531</v>
      </c>
      <c r="L65" s="47">
        <f t="shared" ca="1" si="18"/>
        <v>0.44305555555555531</v>
      </c>
      <c r="M65" s="49">
        <f t="shared" ca="1" si="27"/>
        <v>0.44305555555555531</v>
      </c>
      <c r="N65" s="43">
        <f t="shared" ca="1" si="28"/>
        <v>2</v>
      </c>
      <c r="O65" s="49" t="str">
        <f t="shared" ca="1" si="29"/>
        <v/>
      </c>
      <c r="P65" s="46">
        <f t="shared" ca="1" si="30"/>
        <v>0.44791666666666641</v>
      </c>
      <c r="Q65" s="49">
        <f t="shared" ca="1" si="31"/>
        <v>0.44305555555555531</v>
      </c>
      <c r="R65" s="47">
        <f t="shared" ca="1" si="32"/>
        <v>0.44513888888888864</v>
      </c>
      <c r="S65" s="49" t="str">
        <f t="shared" ca="1" si="33"/>
        <v/>
      </c>
      <c r="T65" s="46">
        <f t="shared" ca="1" si="34"/>
        <v>0.44305555555555531</v>
      </c>
      <c r="U65" s="49" t="str">
        <f t="shared" ca="1" si="19"/>
        <v/>
      </c>
      <c r="V65" s="49">
        <f t="shared" ca="1" si="20"/>
        <v>0.44305555555555531</v>
      </c>
      <c r="W65" s="49">
        <f t="shared" ca="1" si="21"/>
        <v>3.4722222222222099E-3</v>
      </c>
      <c r="X65" s="49">
        <f t="shared" ca="1" si="22"/>
        <v>3.4722222222222173E-3</v>
      </c>
      <c r="Y65" s="49">
        <f t="shared" ca="1" si="35"/>
        <v>0.44513888888888864</v>
      </c>
      <c r="Z65" s="44">
        <f ca="1">COUNTIF($M$19:$M64,"&gt;"&amp;$F65)</f>
        <v>0</v>
      </c>
      <c r="AA65" s="33"/>
      <c r="AB65" s="1"/>
    </row>
    <row r="66" spans="1:28" x14ac:dyDescent="0.3">
      <c r="A66" s="1">
        <f t="shared" ca="1" si="14"/>
        <v>47</v>
      </c>
      <c r="B66" s="44">
        <f t="shared" ca="1" si="15"/>
        <v>2</v>
      </c>
      <c r="C66" s="43">
        <f t="shared" ca="1" si="16"/>
        <v>1.3888888888888889E-3</v>
      </c>
      <c r="D66" s="43">
        <f t="shared" ca="1" si="23"/>
        <v>3</v>
      </c>
      <c r="E66" s="44">
        <f t="shared" ca="1" si="17"/>
        <v>2.0833333333333333E-3</v>
      </c>
      <c r="F66" s="47">
        <f t="shared" ca="1" si="36"/>
        <v>0.44305555555555531</v>
      </c>
      <c r="G66" s="47">
        <f t="shared" ca="1" si="24"/>
        <v>0</v>
      </c>
      <c r="H66" s="48" t="str">
        <f t="shared" ca="1" si="25"/>
        <v/>
      </c>
      <c r="I66" s="49" t="str">
        <f t="shared" ca="1" si="26"/>
        <v/>
      </c>
      <c r="J66" s="47">
        <f ca="1">IF(ISTEXT($F66),"",MAX($P$19:P65,$F66))</f>
        <v>0.44791666666666641</v>
      </c>
      <c r="K66" s="47">
        <f ca="1">IF(ISTEXT($F66),"",MAX($R$19:R65,$F66))</f>
        <v>0.44513888888888864</v>
      </c>
      <c r="L66" s="47">
        <f t="shared" ca="1" si="18"/>
        <v>0.44305555555555531</v>
      </c>
      <c r="M66" s="49">
        <f t="shared" ca="1" si="27"/>
        <v>0.44305555555555531</v>
      </c>
      <c r="N66" s="43">
        <f t="shared" ca="1" si="28"/>
        <v>3</v>
      </c>
      <c r="O66" s="49" t="str">
        <f t="shared" ca="1" si="29"/>
        <v/>
      </c>
      <c r="P66" s="46">
        <f t="shared" ca="1" si="30"/>
        <v>0.44791666666666641</v>
      </c>
      <c r="Q66" s="49" t="str">
        <f t="shared" ca="1" si="31"/>
        <v/>
      </c>
      <c r="R66" s="47">
        <f t="shared" ca="1" si="32"/>
        <v>0.44513888888888864</v>
      </c>
      <c r="S66" s="49">
        <f t="shared" ca="1" si="33"/>
        <v>0.44305555555555531</v>
      </c>
      <c r="T66" s="46">
        <f t="shared" ca="1" si="34"/>
        <v>0.44513888888888864</v>
      </c>
      <c r="U66" s="49" t="str">
        <f t="shared" ca="1" si="19"/>
        <v/>
      </c>
      <c r="V66" s="49">
        <f t="shared" ca="1" si="20"/>
        <v>0.44305555555555531</v>
      </c>
      <c r="W66" s="49">
        <f t="shared" ca="1" si="21"/>
        <v>2.0833333333333259E-3</v>
      </c>
      <c r="X66" s="49">
        <f t="shared" ca="1" si="22"/>
        <v>2.0833333333333333E-3</v>
      </c>
      <c r="Y66" s="49">
        <f t="shared" ca="1" si="35"/>
        <v>0.44513888888888864</v>
      </c>
      <c r="Z66" s="44">
        <f ca="1">COUNTIF($M$19:$M65,"&gt;"&amp;$F66)</f>
        <v>0</v>
      </c>
      <c r="AA66" s="33"/>
      <c r="AB66" s="1"/>
    </row>
    <row r="67" spans="1:28" x14ac:dyDescent="0.3">
      <c r="A67" s="1">
        <f t="shared" ca="1" si="14"/>
        <v>48</v>
      </c>
      <c r="B67" s="44">
        <f t="shared" ca="1" si="15"/>
        <v>2</v>
      </c>
      <c r="C67" s="43">
        <f t="shared" ca="1" si="16"/>
        <v>1.3888888888888889E-3</v>
      </c>
      <c r="D67" s="43">
        <f t="shared" ca="1" si="23"/>
        <v>10</v>
      </c>
      <c r="E67" s="44">
        <f t="shared" ca="1" si="17"/>
        <v>6.9444444444444441E-3</v>
      </c>
      <c r="F67" s="47">
        <f t="shared" ca="1" si="36"/>
        <v>0.4444444444444442</v>
      </c>
      <c r="G67" s="47">
        <f t="shared" ca="1" si="24"/>
        <v>6.9444444444444198E-4</v>
      </c>
      <c r="H67" s="48" t="str">
        <f t="shared" ca="1" si="25"/>
        <v/>
      </c>
      <c r="I67" s="49" t="str">
        <f t="shared" ca="1" si="26"/>
        <v/>
      </c>
      <c r="J67" s="47">
        <f ca="1">IF(ISTEXT($F67),"",MAX($P$19:P66,$F67))</f>
        <v>0.44791666666666641</v>
      </c>
      <c r="K67" s="47">
        <f ca="1">IF(ISTEXT($F67),"",MAX($R$19:R66,$F67))</f>
        <v>0.44513888888888864</v>
      </c>
      <c r="L67" s="47">
        <f t="shared" ca="1" si="18"/>
        <v>0.44513888888888864</v>
      </c>
      <c r="M67" s="49">
        <f t="shared" ca="1" si="27"/>
        <v>0.44513888888888864</v>
      </c>
      <c r="N67" s="43">
        <f t="shared" ca="1" si="28"/>
        <v>2</v>
      </c>
      <c r="O67" s="49" t="str">
        <f t="shared" ca="1" si="29"/>
        <v/>
      </c>
      <c r="P67" s="46">
        <f t="shared" ca="1" si="30"/>
        <v>0.44791666666666641</v>
      </c>
      <c r="Q67" s="49">
        <f t="shared" ca="1" si="31"/>
        <v>0.44513888888888864</v>
      </c>
      <c r="R67" s="47">
        <f t="shared" ca="1" si="32"/>
        <v>0.45208333333333306</v>
      </c>
      <c r="S67" s="49" t="str">
        <f t="shared" ca="1" si="33"/>
        <v/>
      </c>
      <c r="T67" s="46">
        <f t="shared" ca="1" si="34"/>
        <v>0.44513888888888864</v>
      </c>
      <c r="U67" s="49" t="str">
        <f t="shared" ca="1" si="19"/>
        <v/>
      </c>
      <c r="V67" s="49">
        <f t="shared" ca="1" si="20"/>
        <v>0.44513888888888864</v>
      </c>
      <c r="W67" s="49">
        <f t="shared" ca="1" si="21"/>
        <v>7.6388888888888618E-3</v>
      </c>
      <c r="X67" s="49">
        <f t="shared" ca="1" si="22"/>
        <v>7.638888888888886E-3</v>
      </c>
      <c r="Y67" s="49">
        <f t="shared" ca="1" si="35"/>
        <v>0.45208333333333306</v>
      </c>
      <c r="Z67" s="44">
        <f ca="1">COUNTIF($M$19:$M66,"&gt;"&amp;$F67)</f>
        <v>0</v>
      </c>
      <c r="AA67" s="33"/>
      <c r="AB67" s="1"/>
    </row>
    <row r="68" spans="1:28" x14ac:dyDescent="0.3">
      <c r="A68" s="1">
        <f t="shared" ca="1" si="14"/>
        <v>49</v>
      </c>
      <c r="B68" s="44">
        <f t="shared" ca="1" si="15"/>
        <v>3</v>
      </c>
      <c r="C68" s="43">
        <f t="shared" ca="1" si="16"/>
        <v>2.0833333333333333E-3</v>
      </c>
      <c r="D68" s="43">
        <f t="shared" ca="1" si="23"/>
        <v>5</v>
      </c>
      <c r="E68" s="44">
        <f t="shared" ca="1" si="17"/>
        <v>3.472222222222222E-3</v>
      </c>
      <c r="F68" s="47">
        <f t="shared" ca="1" si="36"/>
        <v>0.44652777777777752</v>
      </c>
      <c r="G68" s="47">
        <f t="shared" ca="1" si="24"/>
        <v>0</v>
      </c>
      <c r="H68" s="48" t="str">
        <f t="shared" ca="1" si="25"/>
        <v/>
      </c>
      <c r="I68" s="49" t="str">
        <f t="shared" ca="1" si="26"/>
        <v/>
      </c>
      <c r="J68" s="47">
        <f ca="1">IF(ISTEXT($F68),"",MAX($P$19:P67,$F68))</f>
        <v>0.44791666666666641</v>
      </c>
      <c r="K68" s="47">
        <f ca="1">IF(ISTEXT($F68),"",MAX($R$19:R67,$F68))</f>
        <v>0.45208333333333306</v>
      </c>
      <c r="L68" s="47">
        <f t="shared" ca="1" si="18"/>
        <v>0.44652777777777752</v>
      </c>
      <c r="M68" s="49">
        <f t="shared" ca="1" si="27"/>
        <v>0.44652777777777752</v>
      </c>
      <c r="N68" s="43">
        <f t="shared" ca="1" si="28"/>
        <v>3</v>
      </c>
      <c r="O68" s="49" t="str">
        <f t="shared" ca="1" si="29"/>
        <v/>
      </c>
      <c r="P68" s="46">
        <f t="shared" ca="1" si="30"/>
        <v>0.44791666666666641</v>
      </c>
      <c r="Q68" s="49" t="str">
        <f t="shared" ca="1" si="31"/>
        <v/>
      </c>
      <c r="R68" s="47">
        <f t="shared" ca="1" si="32"/>
        <v>0.45208333333333306</v>
      </c>
      <c r="S68" s="49">
        <f t="shared" ca="1" si="33"/>
        <v>0.44652777777777752</v>
      </c>
      <c r="T68" s="46">
        <f t="shared" ca="1" si="34"/>
        <v>0.44999999999999973</v>
      </c>
      <c r="U68" s="49" t="str">
        <f t="shared" ca="1" si="19"/>
        <v/>
      </c>
      <c r="V68" s="49">
        <f t="shared" ca="1" si="20"/>
        <v>0.44652777777777752</v>
      </c>
      <c r="W68" s="49">
        <f t="shared" ca="1" si="21"/>
        <v>3.4722222222222099E-3</v>
      </c>
      <c r="X68" s="49">
        <f t="shared" ca="1" si="22"/>
        <v>3.472222222222222E-3</v>
      </c>
      <c r="Y68" s="49">
        <f t="shared" ca="1" si="35"/>
        <v>0.44999999999999973</v>
      </c>
      <c r="Z68" s="44">
        <f ca="1">COUNTIF($M$19:$M67,"&gt;"&amp;$F68)</f>
        <v>0</v>
      </c>
      <c r="AA68" s="33"/>
      <c r="AB68" s="1"/>
    </row>
    <row r="69" spans="1:28" x14ac:dyDescent="0.3">
      <c r="A69" s="1">
        <f t="shared" ca="1" si="14"/>
        <v>50</v>
      </c>
      <c r="B69" s="44">
        <f t="shared" ca="1" si="15"/>
        <v>1</v>
      </c>
      <c r="C69" s="43">
        <f t="shared" ca="1" si="16"/>
        <v>6.9444444444444447E-4</v>
      </c>
      <c r="D69" s="43">
        <f t="shared" ca="1" si="23"/>
        <v>1</v>
      </c>
      <c r="E69" s="44">
        <f t="shared" ca="1" si="17"/>
        <v>6.9444444444444447E-4</v>
      </c>
      <c r="F69" s="47">
        <f t="shared" ca="1" si="36"/>
        <v>0.44722222222222197</v>
      </c>
      <c r="G69" s="47">
        <f t="shared" ca="1" si="24"/>
        <v>6.9444444444444198E-4</v>
      </c>
      <c r="H69" s="48" t="str">
        <f t="shared" ca="1" si="25"/>
        <v/>
      </c>
      <c r="I69" s="49" t="str">
        <f t="shared" ca="1" si="26"/>
        <v/>
      </c>
      <c r="J69" s="47">
        <f ca="1">IF(ISTEXT($F69),"",MAX($P$19:P68,$F69))</f>
        <v>0.44791666666666641</v>
      </c>
      <c r="K69" s="47">
        <f ca="1">IF(ISTEXT($F69),"",MAX($R$19:R68,$F69))</f>
        <v>0.45208333333333306</v>
      </c>
      <c r="L69" s="47">
        <f t="shared" ca="1" si="18"/>
        <v>0.44999999999999973</v>
      </c>
      <c r="M69" s="49">
        <f t="shared" ca="1" si="27"/>
        <v>0.44791666666666641</v>
      </c>
      <c r="N69" s="43">
        <f t="shared" ca="1" si="28"/>
        <v>1</v>
      </c>
      <c r="O69" s="49">
        <f t="shared" ca="1" si="29"/>
        <v>0.44791666666666641</v>
      </c>
      <c r="P69" s="46">
        <f t="shared" ca="1" si="30"/>
        <v>0.44861111111111085</v>
      </c>
      <c r="Q69" s="49" t="str">
        <f t="shared" ca="1" si="31"/>
        <v/>
      </c>
      <c r="R69" s="47">
        <f t="shared" ca="1" si="32"/>
        <v>0.45208333333333306</v>
      </c>
      <c r="S69" s="49" t="str">
        <f t="shared" ca="1" si="33"/>
        <v/>
      </c>
      <c r="T69" s="46">
        <f t="shared" ca="1" si="34"/>
        <v>0.44999999999999973</v>
      </c>
      <c r="U69" s="49" t="str">
        <f t="shared" ca="1" si="19"/>
        <v/>
      </c>
      <c r="V69" s="49">
        <f t="shared" ca="1" si="20"/>
        <v>0.44791666666666641</v>
      </c>
      <c r="W69" s="49">
        <f t="shared" ca="1" si="21"/>
        <v>1.388888888888884E-3</v>
      </c>
      <c r="X69" s="49">
        <f t="shared" ca="1" si="22"/>
        <v>1.3888888888888866E-3</v>
      </c>
      <c r="Y69" s="49">
        <f t="shared" ca="1" si="35"/>
        <v>0.44861111111111085</v>
      </c>
      <c r="Z69" s="44">
        <f ca="1">COUNTIF($M$19:$M68,"&gt;"&amp;$F69)</f>
        <v>0</v>
      </c>
      <c r="AA69" s="33"/>
      <c r="AB69" s="1"/>
    </row>
    <row r="70" spans="1:28" x14ac:dyDescent="0.3">
      <c r="A70" s="42"/>
      <c r="B70" s="42"/>
    </row>
    <row r="71" spans="1:28" x14ac:dyDescent="0.3">
      <c r="A71" s="57" t="s">
        <v>56</v>
      </c>
      <c r="B71" s="57">
        <f ca="1">AVERAGE(W20:W69)</f>
        <v>4.5277777777777617E-3</v>
      </c>
    </row>
    <row r="72" spans="1:28" x14ac:dyDescent="0.3">
      <c r="A72" s="57"/>
      <c r="B72" s="57"/>
    </row>
    <row r="73" spans="1:28" x14ac:dyDescent="0.3">
      <c r="A73" s="57"/>
      <c r="B73" s="57"/>
    </row>
    <row r="74" spans="1:28" x14ac:dyDescent="0.3">
      <c r="A74" s="57"/>
      <c r="B74" s="57"/>
    </row>
    <row r="75" spans="1:28" x14ac:dyDescent="0.3">
      <c r="A75" s="42"/>
      <c r="B75" s="42"/>
      <c r="Q75" s="1" t="s">
        <v>64</v>
      </c>
      <c r="R75" s="33">
        <f ca="1">SUMIF(N20:N69,1,E20:E69)/(closed-start)</f>
        <v>0.83333333333333359</v>
      </c>
    </row>
    <row r="76" spans="1:28" x14ac:dyDescent="0.3">
      <c r="A76" s="57" t="s">
        <v>57</v>
      </c>
      <c r="B76" s="57">
        <f ca="1">AVERAGEIF(V20:V69,"&gt;0")</f>
        <v>0.41319444444444442</v>
      </c>
      <c r="P76" s="2"/>
      <c r="Q76" s="1" t="s">
        <v>65</v>
      </c>
      <c r="R76" s="33">
        <f ca="1">SUMIF(N20:N69,2,E20:E69)/(closed-start)</f>
        <v>0.84166666666666701</v>
      </c>
    </row>
    <row r="77" spans="1:28" x14ac:dyDescent="0.3">
      <c r="A77" s="57"/>
      <c r="B77" s="57"/>
      <c r="Q77" s="1" t="s">
        <v>66</v>
      </c>
      <c r="R77" s="33">
        <f ca="1">SUMIF(N20:N69,3,E20:E69)/(closed-start)</f>
        <v>0.58333333333333348</v>
      </c>
    </row>
    <row r="78" spans="1:28" x14ac:dyDescent="0.3">
      <c r="A78" s="57"/>
      <c r="B78" s="57"/>
    </row>
    <row r="79" spans="1:28" x14ac:dyDescent="0.3">
      <c r="A79" s="42"/>
      <c r="B79" s="42"/>
    </row>
    <row r="80" spans="1:28" ht="12.75" customHeight="1" x14ac:dyDescent="0.3">
      <c r="A80" s="57" t="s">
        <v>58</v>
      </c>
      <c r="B80" s="57">
        <f ca="1">SUMIF(N20:N69,1,E20:E69)/(closed-start)</f>
        <v>0.83333333333333359</v>
      </c>
    </row>
    <row r="81" spans="1:2" x14ac:dyDescent="0.3">
      <c r="A81" s="57"/>
      <c r="B81" s="57"/>
    </row>
    <row r="82" spans="1:2" x14ac:dyDescent="0.3">
      <c r="A82" s="57"/>
      <c r="B82" s="57"/>
    </row>
    <row r="83" spans="1:2" ht="12.75" customHeight="1" x14ac:dyDescent="0.3">
      <c r="A83" s="42"/>
      <c r="B83" s="42"/>
    </row>
    <row r="84" spans="1:2" ht="12.75" customHeight="1" x14ac:dyDescent="0.3">
      <c r="A84" s="57" t="s">
        <v>59</v>
      </c>
      <c r="B84" s="57">
        <f ca="1">SUMIF(N20:N69,2,E20:E69)/(closed-start)</f>
        <v>0.84166666666666701</v>
      </c>
    </row>
    <row r="85" spans="1:2" ht="13.5" customHeight="1" x14ac:dyDescent="0.3">
      <c r="A85" s="57"/>
      <c r="B85" s="57"/>
    </row>
    <row r="86" spans="1:2" x14ac:dyDescent="0.3">
      <c r="A86" s="57"/>
      <c r="B86" s="57"/>
    </row>
    <row r="87" spans="1:2" x14ac:dyDescent="0.3">
      <c r="A87" s="42"/>
      <c r="B87" s="42"/>
    </row>
    <row r="88" spans="1:2" ht="15" customHeight="1" x14ac:dyDescent="0.3">
      <c r="A88" s="57" t="s">
        <v>60</v>
      </c>
      <c r="B88" s="57">
        <f ca="1">SUMIF(N20:N69,3,E20:E69)/(closed-start)</f>
        <v>0.58333333333333348</v>
      </c>
    </row>
    <row r="89" spans="1:2" ht="12.75" customHeight="1" x14ac:dyDescent="0.3">
      <c r="A89" s="57"/>
      <c r="B89" s="57"/>
    </row>
    <row r="90" spans="1:2" x14ac:dyDescent="0.3">
      <c r="A90" s="57"/>
      <c r="B90" s="57"/>
    </row>
    <row r="91" spans="1:2" x14ac:dyDescent="0.3">
      <c r="A91" s="42"/>
      <c r="B91" s="42"/>
    </row>
    <row r="92" spans="1:2" ht="12.75" customHeight="1" x14ac:dyDescent="0.3">
      <c r="A92" s="57" t="s">
        <v>61</v>
      </c>
      <c r="B92" s="57">
        <f ca="1">COUNTIF(H20:H69,"ушел")</f>
        <v>6</v>
      </c>
    </row>
    <row r="93" spans="1:2" ht="12.75" customHeight="1" x14ac:dyDescent="0.3">
      <c r="A93" s="57"/>
      <c r="B93" s="57"/>
    </row>
    <row r="94" spans="1:2" x14ac:dyDescent="0.3">
      <c r="A94" s="42"/>
      <c r="B94" s="42"/>
    </row>
    <row r="95" spans="1:2" ht="14.25" customHeight="1" x14ac:dyDescent="0.3">
      <c r="A95" s="57" t="s">
        <v>62</v>
      </c>
      <c r="B95" s="58">
        <f ca="1">B92/COUNTA(H20:H69)</f>
        <v>0.12</v>
      </c>
    </row>
    <row r="96" spans="1:2" ht="12.75" customHeight="1" x14ac:dyDescent="0.3">
      <c r="A96" s="57"/>
      <c r="B96" s="58"/>
    </row>
    <row r="97" spans="1:2" x14ac:dyDescent="0.3">
      <c r="A97" s="42"/>
      <c r="B97" s="42"/>
    </row>
    <row r="98" spans="1:2" ht="12.75" customHeight="1" x14ac:dyDescent="0.3">
      <c r="A98" s="57" t="s">
        <v>63</v>
      </c>
      <c r="B98" s="57">
        <f ca="1">MAX(Z20:Z69)</f>
        <v>3</v>
      </c>
    </row>
    <row r="99" spans="1:2" ht="12.75" customHeight="1" x14ac:dyDescent="0.3">
      <c r="A99" s="57"/>
      <c r="B99" s="57"/>
    </row>
    <row r="100" spans="1:2" x14ac:dyDescent="0.3">
      <c r="A100" s="45"/>
      <c r="B100" s="45"/>
    </row>
  </sheetData>
  <mergeCells count="17">
    <mergeCell ref="A98:A99"/>
    <mergeCell ref="B98:B99"/>
    <mergeCell ref="A80:A82"/>
    <mergeCell ref="B80:B82"/>
    <mergeCell ref="A84:A86"/>
    <mergeCell ref="B84:B86"/>
    <mergeCell ref="A88:A90"/>
    <mergeCell ref="B88:B90"/>
    <mergeCell ref="A92:A93"/>
    <mergeCell ref="B92:B93"/>
    <mergeCell ref="A95:A96"/>
    <mergeCell ref="B95:B96"/>
    <mergeCell ref="A6:A8"/>
    <mergeCell ref="A71:A74"/>
    <mergeCell ref="A76:A78"/>
    <mergeCell ref="B71:B74"/>
    <mergeCell ref="B76:B78"/>
  </mergeCells>
  <phoneticPr fontId="8" type="noConversion"/>
  <conditionalFormatting sqref="AB20:AB6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4</vt:i4>
      </vt:variant>
    </vt:vector>
  </HeadingPairs>
  <TitlesOfParts>
    <vt:vector size="5" baseType="lpstr">
      <vt:lpstr>Лист 1</vt:lpstr>
      <vt:lpstr>closed</vt:lpstr>
      <vt:lpstr>renegat</vt:lpstr>
      <vt:lpstr>SRVT</vt:lpstr>
      <vt:lpstr>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Radiat</dc:creator>
  <cp:lastModifiedBy>Сабина Райвенкло</cp:lastModifiedBy>
  <dcterms:created xsi:type="dcterms:W3CDTF">2026-02-15T11:31:02Z</dcterms:created>
  <dcterms:modified xsi:type="dcterms:W3CDTF">2026-06-15T00:16:27Z</dcterms:modified>
</cp:coreProperties>
</file>